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141f692e6999198/Projects/Github/Portfolio/Excel/"/>
    </mc:Choice>
  </mc:AlternateContent>
  <xr:revisionPtr revIDLastSave="3" documentId="13_ncr:1_{21126274-177D-464C-B1E8-DABE3805BC0A}" xr6:coauthVersionLast="47" xr6:coauthVersionMax="47" xr10:uidLastSave="{47CCDF8B-8121-45FC-87AA-F42921F520C5}"/>
  <bookViews>
    <workbookView xWindow="1905" yWindow="1905" windowWidth="21600" windowHeight="13260" tabRatio="854" xr2:uid="{CC07FA8C-D196-4857-97E9-E88A3C8D7736}"/>
  </bookViews>
  <sheets>
    <sheet name="Daily Sales-All" sheetId="3" r:id="rId1"/>
    <sheet name="Store 1" sheetId="4" r:id="rId2"/>
    <sheet name="Store 2" sheetId="5" r:id="rId3"/>
    <sheet name="Store 3" sheetId="6" r:id="rId4"/>
    <sheet name="Store 4" sheetId="7" r:id="rId5"/>
    <sheet name="Store 5" sheetId="8" r:id="rId6"/>
    <sheet name="Store 6" sheetId="9" r:id="rId7"/>
    <sheet name="Store 7" sheetId="10" r:id="rId8"/>
    <sheet name="Store 8" sheetId="11" r:id="rId9"/>
    <sheet name="Store 9" sheetId="12" r:id="rId10"/>
    <sheet name="Store 10" sheetId="13" r:id="rId11"/>
    <sheet name="Store 11" sheetId="14" r:id="rId12"/>
    <sheet name="Store 12" sheetId="15" r:id="rId13"/>
    <sheet name="Store 13" sheetId="16" r:id="rId14"/>
    <sheet name="Store 14" sheetId="17" r:id="rId15"/>
    <sheet name="Store 15" sheetId="18" r:id="rId16"/>
    <sheet name="Store 16" sheetId="19" r:id="rId17"/>
    <sheet name="Store 17" sheetId="20" r:id="rId18"/>
    <sheet name="Store 18" sheetId="21" r:id="rId19"/>
    <sheet name="Store 19" sheetId="22" r:id="rId20"/>
    <sheet name="Store 20" sheetId="23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" i="3" l="1"/>
  <c r="Q9" i="3"/>
  <c r="R9" i="3"/>
  <c r="Q10" i="3"/>
  <c r="R10" i="3"/>
  <c r="Q11" i="3"/>
  <c r="R11" i="3"/>
  <c r="Q12" i="3"/>
  <c r="R12" i="3"/>
  <c r="Q13" i="3"/>
  <c r="R13" i="3"/>
  <c r="Q14" i="3"/>
  <c r="R14" i="3"/>
  <c r="Q15" i="3"/>
  <c r="R15" i="3"/>
  <c r="Q16" i="3"/>
  <c r="R16" i="3"/>
  <c r="Q17" i="3"/>
  <c r="R17" i="3"/>
  <c r="Q18" i="3"/>
  <c r="R18" i="3"/>
  <c r="Q19" i="3"/>
  <c r="R19" i="3"/>
  <c r="Q20" i="3"/>
  <c r="R20" i="3"/>
  <c r="Q21" i="3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Q30" i="3"/>
  <c r="R30" i="3"/>
  <c r="Q31" i="3"/>
  <c r="R31" i="3"/>
  <c r="Q32" i="3"/>
  <c r="R32" i="3"/>
  <c r="Q33" i="3"/>
  <c r="R33" i="3"/>
  <c r="Q34" i="3"/>
  <c r="R34" i="3"/>
  <c r="Q35" i="3"/>
  <c r="R35" i="3"/>
  <c r="Q36" i="3"/>
  <c r="R36" i="3"/>
  <c r="Q37" i="3"/>
  <c r="R37" i="3"/>
  <c r="Q38" i="3"/>
  <c r="R38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9" i="3"/>
  <c r="AA9" i="3"/>
  <c r="W6" i="3"/>
  <c r="Z6" i="3"/>
  <c r="AA6" i="3"/>
  <c r="W7" i="3"/>
  <c r="Z7" i="3"/>
  <c r="AA7" i="3"/>
  <c r="AA8" i="3"/>
  <c r="Z8" i="3"/>
  <c r="R8" i="3"/>
  <c r="Q8" i="3"/>
  <c r="E9" i="3"/>
  <c r="H9" i="3"/>
  <c r="I9" i="3"/>
  <c r="E10" i="3"/>
  <c r="H10" i="3"/>
  <c r="I10" i="3"/>
  <c r="E11" i="3"/>
  <c r="H11" i="3"/>
  <c r="I11" i="3"/>
  <c r="E12" i="3"/>
  <c r="H12" i="3"/>
  <c r="I12" i="3"/>
  <c r="E13" i="3"/>
  <c r="H13" i="3"/>
  <c r="I13" i="3"/>
  <c r="E14" i="3"/>
  <c r="H14" i="3"/>
  <c r="I14" i="3"/>
  <c r="E15" i="3"/>
  <c r="H15" i="3"/>
  <c r="I15" i="3"/>
  <c r="E16" i="3"/>
  <c r="H16" i="3"/>
  <c r="I16" i="3"/>
  <c r="E17" i="3"/>
  <c r="H17" i="3"/>
  <c r="I17" i="3"/>
  <c r="E18" i="3"/>
  <c r="H18" i="3"/>
  <c r="I18" i="3"/>
  <c r="E19" i="3"/>
  <c r="H19" i="3"/>
  <c r="I19" i="3"/>
  <c r="E20" i="3"/>
  <c r="H20" i="3"/>
  <c r="I20" i="3"/>
  <c r="E21" i="3"/>
  <c r="H21" i="3"/>
  <c r="I21" i="3"/>
  <c r="E22" i="3"/>
  <c r="H22" i="3"/>
  <c r="I22" i="3"/>
  <c r="E23" i="3"/>
  <c r="H23" i="3"/>
  <c r="I23" i="3"/>
  <c r="E24" i="3"/>
  <c r="H24" i="3"/>
  <c r="I24" i="3"/>
  <c r="E25" i="3"/>
  <c r="H25" i="3"/>
  <c r="I25" i="3"/>
  <c r="E26" i="3"/>
  <c r="H26" i="3"/>
  <c r="I26" i="3"/>
  <c r="E27" i="3"/>
  <c r="H27" i="3"/>
  <c r="I27" i="3"/>
  <c r="E28" i="3"/>
  <c r="H28" i="3"/>
  <c r="I28" i="3"/>
  <c r="E29" i="3"/>
  <c r="H29" i="3"/>
  <c r="I29" i="3"/>
  <c r="E30" i="3"/>
  <c r="H30" i="3"/>
  <c r="I30" i="3"/>
  <c r="E31" i="3"/>
  <c r="H31" i="3"/>
  <c r="I31" i="3"/>
  <c r="E32" i="3"/>
  <c r="H32" i="3"/>
  <c r="I32" i="3"/>
  <c r="E33" i="3"/>
  <c r="H33" i="3"/>
  <c r="I33" i="3"/>
  <c r="E34" i="3"/>
  <c r="H34" i="3"/>
  <c r="I34" i="3"/>
  <c r="E35" i="3"/>
  <c r="H35" i="3"/>
  <c r="I35" i="3"/>
  <c r="E36" i="3"/>
  <c r="H36" i="3"/>
  <c r="I36" i="3"/>
  <c r="E37" i="3"/>
  <c r="H37" i="3"/>
  <c r="I37" i="3"/>
  <c r="E38" i="3"/>
  <c r="H38" i="3"/>
  <c r="I38" i="3"/>
  <c r="H8" i="3"/>
  <c r="I8" i="3"/>
  <c r="E8" i="3"/>
  <c r="AI43" i="5"/>
  <c r="AD43" i="5"/>
  <c r="AI39" i="5"/>
  <c r="AD39" i="5"/>
  <c r="AF38" i="5"/>
  <c r="AB38" i="5"/>
  <c r="X38" i="5"/>
  <c r="Y38" i="5" s="1"/>
  <c r="Q38" i="5"/>
  <c r="S38" i="5" s="1"/>
  <c r="O38" i="5"/>
  <c r="P38" i="5" s="1"/>
  <c r="N38" i="5"/>
  <c r="W38" i="5" s="1"/>
  <c r="AK38" i="5" s="1"/>
  <c r="J38" i="5"/>
  <c r="F38" i="5"/>
  <c r="AL38" i="5" s="1"/>
  <c r="AB37" i="5"/>
  <c r="X37" i="5"/>
  <c r="S37" i="5"/>
  <c r="Q37" i="5"/>
  <c r="O37" i="5"/>
  <c r="N37" i="5"/>
  <c r="AF37" i="5" s="1"/>
  <c r="J37" i="5"/>
  <c r="G37" i="5"/>
  <c r="F37" i="5"/>
  <c r="AL37" i="5" s="1"/>
  <c r="AB36" i="5"/>
  <c r="X36" i="5"/>
  <c r="S36" i="5"/>
  <c r="Q36" i="5"/>
  <c r="O36" i="5" s="1"/>
  <c r="N36" i="5"/>
  <c r="J36" i="5"/>
  <c r="G36" i="5"/>
  <c r="F36" i="5"/>
  <c r="AB35" i="5"/>
  <c r="X35" i="5"/>
  <c r="S35" i="5"/>
  <c r="Q35" i="5"/>
  <c r="O35" i="5"/>
  <c r="P35" i="5" s="1"/>
  <c r="N35" i="5"/>
  <c r="W35" i="5" s="1"/>
  <c r="J35" i="5"/>
  <c r="G35" i="5"/>
  <c r="F35" i="5"/>
  <c r="AL35" i="5" s="1"/>
  <c r="AB34" i="5"/>
  <c r="X34" i="5"/>
  <c r="W34" i="5"/>
  <c r="AK34" i="5" s="1"/>
  <c r="Q34" i="5"/>
  <c r="S34" i="5" s="1"/>
  <c r="P34" i="5"/>
  <c r="O34" i="5"/>
  <c r="N34" i="5"/>
  <c r="AF34" i="5" s="1"/>
  <c r="J34" i="5"/>
  <c r="F34" i="5"/>
  <c r="AB33" i="5"/>
  <c r="X33" i="5"/>
  <c r="S33" i="5"/>
  <c r="O33" i="5"/>
  <c r="P33" i="5" s="1"/>
  <c r="N33" i="5"/>
  <c r="W33" i="5" s="1"/>
  <c r="AK33" i="5" s="1"/>
  <c r="J33" i="5"/>
  <c r="F33" i="5"/>
  <c r="AL32" i="5"/>
  <c r="AB32" i="5"/>
  <c r="X32" i="5"/>
  <c r="W32" i="5"/>
  <c r="AK32" i="5" s="1"/>
  <c r="S32" i="5"/>
  <c r="Q32" i="5"/>
  <c r="O32" i="5" s="1"/>
  <c r="N32" i="5"/>
  <c r="AF32" i="5" s="1"/>
  <c r="J32" i="5"/>
  <c r="G32" i="5"/>
  <c r="F32" i="5"/>
  <c r="AL31" i="5"/>
  <c r="AB31" i="5"/>
  <c r="X31" i="5"/>
  <c r="Q31" i="5"/>
  <c r="S31" i="5" s="1"/>
  <c r="O31" i="5"/>
  <c r="N31" i="5"/>
  <c r="J31" i="5"/>
  <c r="F31" i="5"/>
  <c r="AB30" i="5"/>
  <c r="X30" i="5"/>
  <c r="S30" i="5"/>
  <c r="O30" i="5"/>
  <c r="N30" i="5"/>
  <c r="J30" i="5"/>
  <c r="F30" i="5"/>
  <c r="AB29" i="5"/>
  <c r="X29" i="5"/>
  <c r="W29" i="5"/>
  <c r="S29" i="5"/>
  <c r="Q29" i="5"/>
  <c r="O29" i="5"/>
  <c r="P29" i="5" s="1"/>
  <c r="N29" i="5"/>
  <c r="AF29" i="5" s="1"/>
  <c r="J29" i="5"/>
  <c r="F29" i="5"/>
  <c r="AL28" i="5"/>
  <c r="AB28" i="5"/>
  <c r="X28" i="5"/>
  <c r="S28" i="5"/>
  <c r="Q28" i="5"/>
  <c r="P28" i="5"/>
  <c r="O28" i="5"/>
  <c r="N28" i="5"/>
  <c r="AF28" i="5" s="1"/>
  <c r="J28" i="5"/>
  <c r="F28" i="5"/>
  <c r="AB27" i="5"/>
  <c r="X27" i="5"/>
  <c r="S27" i="5"/>
  <c r="Q27" i="5"/>
  <c r="O27" i="5" s="1"/>
  <c r="N27" i="5"/>
  <c r="J27" i="5"/>
  <c r="F27" i="5"/>
  <c r="G27" i="5" s="1"/>
  <c r="AB26" i="5"/>
  <c r="X26" i="5"/>
  <c r="Q26" i="5"/>
  <c r="N26" i="5"/>
  <c r="J26" i="5"/>
  <c r="F26" i="5"/>
  <c r="AB25" i="5"/>
  <c r="X25" i="5"/>
  <c r="AL25" i="5" s="1"/>
  <c r="S25" i="5"/>
  <c r="P25" i="5"/>
  <c r="O25" i="5"/>
  <c r="N25" i="5"/>
  <c r="W25" i="5" s="1"/>
  <c r="AK25" i="5" s="1"/>
  <c r="J25" i="5"/>
  <c r="F25" i="5"/>
  <c r="AG25" i="5" s="1"/>
  <c r="AF24" i="5"/>
  <c r="AB24" i="5"/>
  <c r="X24" i="5"/>
  <c r="S24" i="5"/>
  <c r="Q24" i="5"/>
  <c r="O24" i="5" s="1"/>
  <c r="P24" i="5" s="1"/>
  <c r="N24" i="5"/>
  <c r="W24" i="5" s="1"/>
  <c r="AK24" i="5" s="1"/>
  <c r="J24" i="5"/>
  <c r="F24" i="5"/>
  <c r="G24" i="5" s="1"/>
  <c r="AB23" i="5"/>
  <c r="X23" i="5"/>
  <c r="Q23" i="5"/>
  <c r="N23" i="5"/>
  <c r="J23" i="5"/>
  <c r="F23" i="5"/>
  <c r="AB22" i="5"/>
  <c r="X22" i="5"/>
  <c r="Q22" i="5"/>
  <c r="N22" i="5"/>
  <c r="W22" i="5" s="1"/>
  <c r="AK22" i="5" s="1"/>
  <c r="J22" i="5"/>
  <c r="F22" i="5"/>
  <c r="AB21" i="5"/>
  <c r="X21" i="5"/>
  <c r="Y21" i="5" s="1"/>
  <c r="Q21" i="5"/>
  <c r="S21" i="5" s="1"/>
  <c r="O21" i="5"/>
  <c r="P21" i="5" s="1"/>
  <c r="N21" i="5"/>
  <c r="W21" i="5" s="1"/>
  <c r="AK21" i="5" s="1"/>
  <c r="J21" i="5"/>
  <c r="F21" i="5"/>
  <c r="AB20" i="5"/>
  <c r="X20" i="5"/>
  <c r="S20" i="5"/>
  <c r="Q20" i="5"/>
  <c r="O20" i="5"/>
  <c r="N20" i="5"/>
  <c r="AF20" i="5" s="1"/>
  <c r="J20" i="5"/>
  <c r="G20" i="5"/>
  <c r="F20" i="5"/>
  <c r="AL20" i="5" s="1"/>
  <c r="AB19" i="5"/>
  <c r="X19" i="5"/>
  <c r="S19" i="5"/>
  <c r="Q19" i="5"/>
  <c r="O19" i="5"/>
  <c r="N19" i="5"/>
  <c r="AF19" i="5" s="1"/>
  <c r="J19" i="5"/>
  <c r="F19" i="5"/>
  <c r="AB18" i="5"/>
  <c r="X18" i="5"/>
  <c r="S18" i="5"/>
  <c r="Q18" i="5"/>
  <c r="O18" i="5" s="1"/>
  <c r="N18" i="5"/>
  <c r="AF18" i="5" s="1"/>
  <c r="J18" i="5"/>
  <c r="F18" i="5"/>
  <c r="AL17" i="5"/>
  <c r="AB17" i="5"/>
  <c r="X17" i="5"/>
  <c r="Q17" i="5"/>
  <c r="S17" i="5" s="1"/>
  <c r="O17" i="5"/>
  <c r="P17" i="5" s="1"/>
  <c r="N17" i="5"/>
  <c r="AF17" i="5" s="1"/>
  <c r="J17" i="5"/>
  <c r="F17" i="5"/>
  <c r="AB16" i="5"/>
  <c r="X16" i="5"/>
  <c r="Y16" i="5" s="1"/>
  <c r="S16" i="5"/>
  <c r="O16" i="5"/>
  <c r="P16" i="5" s="1"/>
  <c r="N16" i="5"/>
  <c r="W16" i="5" s="1"/>
  <c r="AK16" i="5" s="1"/>
  <c r="J16" i="5"/>
  <c r="F16" i="5"/>
  <c r="AB15" i="5"/>
  <c r="X15" i="5"/>
  <c r="W15" i="5"/>
  <c r="AK15" i="5" s="1"/>
  <c r="S15" i="5"/>
  <c r="Q15" i="5"/>
  <c r="O15" i="5" s="1"/>
  <c r="P15" i="5" s="1"/>
  <c r="N15" i="5"/>
  <c r="AF15" i="5" s="1"/>
  <c r="J15" i="5"/>
  <c r="G15" i="5"/>
  <c r="F15" i="5"/>
  <c r="AL15" i="5" s="1"/>
  <c r="AL14" i="5"/>
  <c r="AB14" i="5"/>
  <c r="X14" i="5"/>
  <c r="Q14" i="5"/>
  <c r="S14" i="5" s="1"/>
  <c r="P14" i="5"/>
  <c r="O14" i="5"/>
  <c r="N14" i="5"/>
  <c r="J14" i="5"/>
  <c r="F14" i="5"/>
  <c r="AG14" i="5" s="1"/>
  <c r="AB13" i="5"/>
  <c r="X13" i="5"/>
  <c r="S13" i="5"/>
  <c r="Q13" i="5"/>
  <c r="O13" i="5" s="1"/>
  <c r="N13" i="5"/>
  <c r="W13" i="5" s="1"/>
  <c r="AK13" i="5" s="1"/>
  <c r="J13" i="5"/>
  <c r="G13" i="5"/>
  <c r="F13" i="5"/>
  <c r="AB12" i="5"/>
  <c r="X12" i="5"/>
  <c r="Q12" i="5"/>
  <c r="N12" i="5"/>
  <c r="J12" i="5"/>
  <c r="F12" i="5"/>
  <c r="AB11" i="5"/>
  <c r="X11" i="5"/>
  <c r="Q11" i="5"/>
  <c r="N11" i="5"/>
  <c r="W11" i="5" s="1"/>
  <c r="AK11" i="5" s="1"/>
  <c r="J11" i="5"/>
  <c r="F11" i="5"/>
  <c r="AF10" i="5"/>
  <c r="AB10" i="5"/>
  <c r="X10" i="5"/>
  <c r="Q10" i="5"/>
  <c r="S10" i="5" s="1"/>
  <c r="O10" i="5"/>
  <c r="N10" i="5"/>
  <c r="W10" i="5" s="1"/>
  <c r="AK10" i="5" s="1"/>
  <c r="J10" i="5"/>
  <c r="F10" i="5"/>
  <c r="AB9" i="5"/>
  <c r="X9" i="5"/>
  <c r="S9" i="5"/>
  <c r="Q9" i="5"/>
  <c r="O9" i="5"/>
  <c r="P9" i="5" s="1"/>
  <c r="N9" i="5"/>
  <c r="J9" i="5"/>
  <c r="F9" i="5"/>
  <c r="AG9" i="5" s="1"/>
  <c r="AB8" i="5"/>
  <c r="X8" i="5"/>
  <c r="S8" i="5"/>
  <c r="Q8" i="5"/>
  <c r="O8" i="5" s="1"/>
  <c r="N8" i="5"/>
  <c r="J8" i="5"/>
  <c r="F8" i="5"/>
  <c r="AB7" i="5"/>
  <c r="X7" i="5"/>
  <c r="Y7" i="5" s="1"/>
  <c r="S7" i="5"/>
  <c r="O7" i="5"/>
  <c r="P7" i="5" s="1"/>
  <c r="AB6" i="5"/>
  <c r="X6" i="5"/>
  <c r="Y6" i="5" s="1"/>
  <c r="B1" i="5"/>
  <c r="C3" i="5" s="1"/>
  <c r="AI43" i="6"/>
  <c r="AD43" i="6"/>
  <c r="AI39" i="6"/>
  <c r="AD39" i="6"/>
  <c r="AL38" i="6"/>
  <c r="AB38" i="6"/>
  <c r="X38" i="6"/>
  <c r="W38" i="6"/>
  <c r="S38" i="6"/>
  <c r="Q38" i="6"/>
  <c r="P38" i="6"/>
  <c r="O38" i="6"/>
  <c r="N38" i="6"/>
  <c r="AF38" i="6" s="1"/>
  <c r="J38" i="6"/>
  <c r="F38" i="6"/>
  <c r="AL37" i="6"/>
  <c r="AB37" i="6"/>
  <c r="X37" i="6"/>
  <c r="S37" i="6"/>
  <c r="Q37" i="6"/>
  <c r="O37" i="6"/>
  <c r="N37" i="6"/>
  <c r="J37" i="6"/>
  <c r="F37" i="6"/>
  <c r="G37" i="6" s="1"/>
  <c r="AB36" i="6"/>
  <c r="X36" i="6"/>
  <c r="S36" i="6"/>
  <c r="Q36" i="6"/>
  <c r="O36" i="6"/>
  <c r="N36" i="6"/>
  <c r="J36" i="6"/>
  <c r="F36" i="6"/>
  <c r="G36" i="6" s="1"/>
  <c r="AF35" i="6"/>
  <c r="AB35" i="6"/>
  <c r="X35" i="6"/>
  <c r="Q35" i="6"/>
  <c r="N35" i="6"/>
  <c r="W35" i="6" s="1"/>
  <c r="AK35" i="6" s="1"/>
  <c r="J35" i="6"/>
  <c r="F35" i="6"/>
  <c r="AB34" i="6"/>
  <c r="X34" i="6"/>
  <c r="Q34" i="6"/>
  <c r="S34" i="6" s="1"/>
  <c r="N34" i="6"/>
  <c r="W34" i="6" s="1"/>
  <c r="AK34" i="6" s="1"/>
  <c r="J34" i="6"/>
  <c r="F34" i="6"/>
  <c r="G34" i="6" s="1"/>
  <c r="AB33" i="6"/>
  <c r="X33" i="6"/>
  <c r="S33" i="6"/>
  <c r="O33" i="6"/>
  <c r="AG33" i="6" s="1"/>
  <c r="N33" i="6"/>
  <c r="J33" i="6"/>
  <c r="F33" i="6"/>
  <c r="G33" i="6" s="1"/>
  <c r="AB32" i="6"/>
  <c r="X32" i="6"/>
  <c r="W32" i="6"/>
  <c r="AK32" i="6" s="1"/>
  <c r="Q32" i="6"/>
  <c r="O32" i="6" s="1"/>
  <c r="P32" i="6" s="1"/>
  <c r="N32" i="6"/>
  <c r="AF32" i="6" s="1"/>
  <c r="J32" i="6"/>
  <c r="G32" i="6"/>
  <c r="F32" i="6"/>
  <c r="AF31" i="6"/>
  <c r="AB31" i="6"/>
  <c r="X31" i="6"/>
  <c r="Q31" i="6"/>
  <c r="S31" i="6" s="1"/>
  <c r="N31" i="6"/>
  <c r="W31" i="6" s="1"/>
  <c r="AK31" i="6" s="1"/>
  <c r="J31" i="6"/>
  <c r="F31" i="6"/>
  <c r="G31" i="6" s="1"/>
  <c r="AF30" i="6"/>
  <c r="AB30" i="6"/>
  <c r="X30" i="6"/>
  <c r="S30" i="6"/>
  <c r="O30" i="6"/>
  <c r="N30" i="6"/>
  <c r="W30" i="6" s="1"/>
  <c r="AK30" i="6" s="1"/>
  <c r="J30" i="6"/>
  <c r="G30" i="6"/>
  <c r="F30" i="6"/>
  <c r="AF29" i="6"/>
  <c r="AB29" i="6"/>
  <c r="X29" i="6"/>
  <c r="S29" i="6"/>
  <c r="Q29" i="6"/>
  <c r="O29" i="6" s="1"/>
  <c r="P29" i="6"/>
  <c r="N29" i="6"/>
  <c r="W29" i="6" s="1"/>
  <c r="AK29" i="6" s="1"/>
  <c r="J29" i="6"/>
  <c r="G29" i="6"/>
  <c r="F29" i="6"/>
  <c r="AB28" i="6"/>
  <c r="X28" i="6"/>
  <c r="Q28" i="6"/>
  <c r="S28" i="6" s="1"/>
  <c r="N28" i="6"/>
  <c r="J28" i="6"/>
  <c r="F28" i="6"/>
  <c r="G28" i="6" s="1"/>
  <c r="AB27" i="6"/>
  <c r="Y27" i="6"/>
  <c r="X27" i="6"/>
  <c r="Q27" i="6"/>
  <c r="N27" i="6"/>
  <c r="W27" i="6" s="1"/>
  <c r="AK27" i="6" s="1"/>
  <c r="J27" i="6"/>
  <c r="F27" i="6"/>
  <c r="AB26" i="6"/>
  <c r="X26" i="6"/>
  <c r="Q26" i="6"/>
  <c r="O26" i="6" s="1"/>
  <c r="P26" i="6" s="1"/>
  <c r="N26" i="6"/>
  <c r="W26" i="6" s="1"/>
  <c r="AK26" i="6" s="1"/>
  <c r="J26" i="6"/>
  <c r="F26" i="6"/>
  <c r="AG25" i="6"/>
  <c r="AB25" i="6"/>
  <c r="X25" i="6"/>
  <c r="S25" i="6"/>
  <c r="O25" i="6"/>
  <c r="N25" i="6"/>
  <c r="J25" i="6"/>
  <c r="F25" i="6"/>
  <c r="G25" i="6" s="1"/>
  <c r="AK24" i="6"/>
  <c r="AB24" i="6"/>
  <c r="X24" i="6"/>
  <c r="Q24" i="6"/>
  <c r="N24" i="6"/>
  <c r="W24" i="6" s="1"/>
  <c r="J24" i="6"/>
  <c r="F24" i="6"/>
  <c r="AB23" i="6"/>
  <c r="X23" i="6"/>
  <c r="S23" i="6"/>
  <c r="Q23" i="6"/>
  <c r="O23" i="6"/>
  <c r="N23" i="6"/>
  <c r="W23" i="6" s="1"/>
  <c r="J23" i="6"/>
  <c r="F23" i="6"/>
  <c r="AB22" i="6"/>
  <c r="X22" i="6"/>
  <c r="Q22" i="6"/>
  <c r="S22" i="6" s="1"/>
  <c r="N22" i="6"/>
  <c r="J22" i="6"/>
  <c r="G22" i="6"/>
  <c r="F22" i="6"/>
  <c r="AL21" i="6"/>
  <c r="AB21" i="6"/>
  <c r="X21" i="6"/>
  <c r="Q21" i="6"/>
  <c r="O21" i="6" s="1"/>
  <c r="N21" i="6"/>
  <c r="J21" i="6"/>
  <c r="F21" i="6"/>
  <c r="G21" i="6" s="1"/>
  <c r="AF20" i="6"/>
  <c r="AB20" i="6"/>
  <c r="X20" i="6"/>
  <c r="S20" i="6"/>
  <c r="Q20" i="6"/>
  <c r="O20" i="6"/>
  <c r="N20" i="6"/>
  <c r="W20" i="6" s="1"/>
  <c r="J20" i="6"/>
  <c r="F20" i="6"/>
  <c r="AF19" i="6"/>
  <c r="AB19" i="6"/>
  <c r="X19" i="6"/>
  <c r="S19" i="6"/>
  <c r="Q19" i="6"/>
  <c r="O19" i="6"/>
  <c r="N19" i="6"/>
  <c r="W19" i="6" s="1"/>
  <c r="AK19" i="6" s="1"/>
  <c r="J19" i="6"/>
  <c r="F19" i="6"/>
  <c r="AG19" i="6" s="1"/>
  <c r="AB18" i="6"/>
  <c r="X18" i="6"/>
  <c r="S18" i="6"/>
  <c r="Q18" i="6"/>
  <c r="O18" i="6" s="1"/>
  <c r="P18" i="6"/>
  <c r="N18" i="6"/>
  <c r="J18" i="6"/>
  <c r="F18" i="6"/>
  <c r="AG18" i="6" s="1"/>
  <c r="AB17" i="6"/>
  <c r="X17" i="6"/>
  <c r="Q17" i="6"/>
  <c r="N17" i="6"/>
  <c r="J17" i="6"/>
  <c r="F17" i="6"/>
  <c r="AB16" i="6"/>
  <c r="X16" i="6"/>
  <c r="W16" i="6"/>
  <c r="AK16" i="6" s="1"/>
  <c r="S16" i="6"/>
  <c r="P16" i="6"/>
  <c r="O16" i="6"/>
  <c r="N16" i="6"/>
  <c r="AF16" i="6" s="1"/>
  <c r="J16" i="6"/>
  <c r="F16" i="6"/>
  <c r="AB15" i="6"/>
  <c r="X15" i="6"/>
  <c r="S15" i="6"/>
  <c r="Q15" i="6"/>
  <c r="O15" i="6"/>
  <c r="N15" i="6"/>
  <c r="W15" i="6" s="1"/>
  <c r="AK15" i="6" s="1"/>
  <c r="J15" i="6"/>
  <c r="F15" i="6"/>
  <c r="AB14" i="6"/>
  <c r="X14" i="6"/>
  <c r="Q14" i="6"/>
  <c r="N14" i="6"/>
  <c r="AF14" i="6" s="1"/>
  <c r="J14" i="6"/>
  <c r="F14" i="6"/>
  <c r="AB13" i="6"/>
  <c r="X13" i="6"/>
  <c r="Y13" i="6" s="1"/>
  <c r="Q13" i="6"/>
  <c r="N13" i="6"/>
  <c r="W13" i="6" s="1"/>
  <c r="AK13" i="6" s="1"/>
  <c r="J13" i="6"/>
  <c r="F13" i="6"/>
  <c r="AF12" i="6"/>
  <c r="AB12" i="6"/>
  <c r="Y12" i="6"/>
  <c r="X12" i="6"/>
  <c r="Q12" i="6"/>
  <c r="S12" i="6" s="1"/>
  <c r="O12" i="6"/>
  <c r="P12" i="6" s="1"/>
  <c r="N12" i="6"/>
  <c r="W12" i="6" s="1"/>
  <c r="AK12" i="6" s="1"/>
  <c r="J12" i="6"/>
  <c r="F12" i="6"/>
  <c r="G12" i="6" s="1"/>
  <c r="AB11" i="6"/>
  <c r="X11" i="6"/>
  <c r="S11" i="6"/>
  <c r="Q11" i="6"/>
  <c r="O11" i="6"/>
  <c r="P11" i="6" s="1"/>
  <c r="N11" i="6"/>
  <c r="J11" i="6"/>
  <c r="F11" i="6"/>
  <c r="AB10" i="6"/>
  <c r="X10" i="6"/>
  <c r="Q10" i="6"/>
  <c r="N10" i="6"/>
  <c r="J10" i="6"/>
  <c r="F10" i="6"/>
  <c r="AB9" i="6"/>
  <c r="X9" i="6"/>
  <c r="Q9" i="6"/>
  <c r="S9" i="6" s="1"/>
  <c r="N9" i="6"/>
  <c r="J9" i="6"/>
  <c r="F9" i="6"/>
  <c r="G9" i="6" s="1"/>
  <c r="AK8" i="6"/>
  <c r="AB8" i="6"/>
  <c r="X8" i="6"/>
  <c r="Q8" i="6"/>
  <c r="N8" i="6"/>
  <c r="W8" i="6" s="1"/>
  <c r="Y8" i="6" s="1"/>
  <c r="J8" i="6"/>
  <c r="F8" i="6"/>
  <c r="AL8" i="6" s="1"/>
  <c r="AB7" i="6"/>
  <c r="X7" i="6"/>
  <c r="Y7" i="6" s="1"/>
  <c r="S7" i="6"/>
  <c r="P7" i="6"/>
  <c r="O7" i="6"/>
  <c r="AB6" i="6"/>
  <c r="Y6" i="6"/>
  <c r="X6" i="6"/>
  <c r="B1" i="6"/>
  <c r="AI43" i="7"/>
  <c r="AD43" i="7"/>
  <c r="AI39" i="7"/>
  <c r="AD39" i="7"/>
  <c r="AB38" i="7"/>
  <c r="X38" i="7"/>
  <c r="S38" i="7"/>
  <c r="Q38" i="7"/>
  <c r="O38" i="7" s="1"/>
  <c r="N38" i="7"/>
  <c r="AF38" i="7" s="1"/>
  <c r="J38" i="7"/>
  <c r="F38" i="7"/>
  <c r="AB37" i="7"/>
  <c r="X37" i="7"/>
  <c r="Q37" i="7"/>
  <c r="N37" i="7"/>
  <c r="W37" i="7" s="1"/>
  <c r="AK37" i="7" s="1"/>
  <c r="J37" i="7"/>
  <c r="F37" i="7"/>
  <c r="G37" i="7" s="1"/>
  <c r="AK36" i="7"/>
  <c r="AB36" i="7"/>
  <c r="X36" i="7"/>
  <c r="Y36" i="7" s="1"/>
  <c r="Q36" i="7"/>
  <c r="S36" i="7" s="1"/>
  <c r="N36" i="7"/>
  <c r="W36" i="7" s="1"/>
  <c r="J36" i="7"/>
  <c r="F36" i="7"/>
  <c r="AF35" i="7"/>
  <c r="AB35" i="7"/>
  <c r="X35" i="7"/>
  <c r="Y35" i="7" s="1"/>
  <c r="W35" i="7"/>
  <c r="AK35" i="7" s="1"/>
  <c r="S35" i="7"/>
  <c r="Q35" i="7"/>
  <c r="O35" i="7" s="1"/>
  <c r="AG35" i="7" s="1"/>
  <c r="N35" i="7"/>
  <c r="J35" i="7"/>
  <c r="G35" i="7"/>
  <c r="F35" i="7"/>
  <c r="AB34" i="7"/>
  <c r="X34" i="7"/>
  <c r="S34" i="7"/>
  <c r="Q34" i="7"/>
  <c r="O34" i="7"/>
  <c r="N34" i="7"/>
  <c r="J34" i="7"/>
  <c r="F34" i="7"/>
  <c r="G34" i="7" s="1"/>
  <c r="AB33" i="7"/>
  <c r="X33" i="7"/>
  <c r="S33" i="7"/>
  <c r="O33" i="7"/>
  <c r="N33" i="7"/>
  <c r="W33" i="7" s="1"/>
  <c r="AK33" i="7" s="1"/>
  <c r="J33" i="7"/>
  <c r="F33" i="7"/>
  <c r="AL33" i="7" s="1"/>
  <c r="AB32" i="7"/>
  <c r="X32" i="7"/>
  <c r="S32" i="7"/>
  <c r="Q32" i="7"/>
  <c r="O32" i="7" s="1"/>
  <c r="N32" i="7"/>
  <c r="J32" i="7"/>
  <c r="F32" i="7"/>
  <c r="AL32" i="7" s="1"/>
  <c r="AB31" i="7"/>
  <c r="X31" i="7"/>
  <c r="AL31" i="7" s="1"/>
  <c r="Q31" i="7"/>
  <c r="S31" i="7" s="1"/>
  <c r="O31" i="7"/>
  <c r="N31" i="7"/>
  <c r="AF31" i="7" s="1"/>
  <c r="J31" i="7"/>
  <c r="F31" i="7"/>
  <c r="G31" i="7" s="1"/>
  <c r="AB30" i="7"/>
  <c r="X30" i="7"/>
  <c r="S30" i="7"/>
  <c r="O30" i="7"/>
  <c r="P30" i="7" s="1"/>
  <c r="N30" i="7"/>
  <c r="W30" i="7" s="1"/>
  <c r="AK30" i="7" s="1"/>
  <c r="J30" i="7"/>
  <c r="F30" i="7"/>
  <c r="AL30" i="7" s="1"/>
  <c r="AL29" i="7"/>
  <c r="AB29" i="7"/>
  <c r="X29" i="7"/>
  <c r="S29" i="7"/>
  <c r="Q29" i="7"/>
  <c r="O29" i="7" s="1"/>
  <c r="N29" i="7"/>
  <c r="W29" i="7" s="1"/>
  <c r="AK29" i="7" s="1"/>
  <c r="J29" i="7"/>
  <c r="F29" i="7"/>
  <c r="G29" i="7" s="1"/>
  <c r="AB28" i="7"/>
  <c r="X28" i="7"/>
  <c r="Q28" i="7"/>
  <c r="S28" i="7" s="1"/>
  <c r="O28" i="7"/>
  <c r="N28" i="7"/>
  <c r="AF28" i="7" s="1"/>
  <c r="J28" i="7"/>
  <c r="F28" i="7"/>
  <c r="G28" i="7" s="1"/>
  <c r="AB27" i="7"/>
  <c r="X27" i="7"/>
  <c r="Q27" i="7"/>
  <c r="N27" i="7"/>
  <c r="J27" i="7"/>
  <c r="F27" i="7"/>
  <c r="AF26" i="7"/>
  <c r="AB26" i="7"/>
  <c r="X26" i="7"/>
  <c r="W26" i="7"/>
  <c r="AK26" i="7" s="1"/>
  <c r="Q26" i="7"/>
  <c r="N26" i="7"/>
  <c r="J26" i="7"/>
  <c r="F26" i="7"/>
  <c r="AL25" i="7"/>
  <c r="AB25" i="7"/>
  <c r="X25" i="7"/>
  <c r="S25" i="7"/>
  <c r="O25" i="7"/>
  <c r="N25" i="7"/>
  <c r="J25" i="7"/>
  <c r="F25" i="7"/>
  <c r="G25" i="7" s="1"/>
  <c r="AL24" i="7"/>
  <c r="AB24" i="7"/>
  <c r="X24" i="7"/>
  <c r="Q24" i="7"/>
  <c r="N24" i="7"/>
  <c r="J24" i="7"/>
  <c r="G24" i="7"/>
  <c r="F24" i="7"/>
  <c r="AF23" i="7"/>
  <c r="AB23" i="7"/>
  <c r="X23" i="7"/>
  <c r="Q23" i="7"/>
  <c r="N23" i="7"/>
  <c r="W23" i="7" s="1"/>
  <c r="AK23" i="7" s="1"/>
  <c r="J23" i="7"/>
  <c r="F23" i="7"/>
  <c r="AL22" i="7"/>
  <c r="AB22" i="7"/>
  <c r="X22" i="7"/>
  <c r="Q22" i="7"/>
  <c r="S22" i="7" s="1"/>
  <c r="O22" i="7"/>
  <c r="P22" i="7" s="1"/>
  <c r="N22" i="7"/>
  <c r="J22" i="7"/>
  <c r="F22" i="7"/>
  <c r="G22" i="7" s="1"/>
  <c r="AB21" i="7"/>
  <c r="X21" i="7"/>
  <c r="Q21" i="7"/>
  <c r="N21" i="7"/>
  <c r="W21" i="7" s="1"/>
  <c r="Y21" i="7" s="1"/>
  <c r="J21" i="7"/>
  <c r="F21" i="7"/>
  <c r="AB20" i="7"/>
  <c r="X20" i="7"/>
  <c r="S20" i="7"/>
  <c r="Q20" i="7"/>
  <c r="O20" i="7"/>
  <c r="N20" i="7"/>
  <c r="W20" i="7" s="1"/>
  <c r="AK20" i="7" s="1"/>
  <c r="J20" i="7"/>
  <c r="G20" i="7"/>
  <c r="F20" i="7"/>
  <c r="AB19" i="7"/>
  <c r="X19" i="7"/>
  <c r="Q19" i="7"/>
  <c r="S19" i="7" s="1"/>
  <c r="N19" i="7"/>
  <c r="AF19" i="7" s="1"/>
  <c r="J19" i="7"/>
  <c r="F19" i="7"/>
  <c r="G19" i="7" s="1"/>
  <c r="AB18" i="7"/>
  <c r="X18" i="7"/>
  <c r="S18" i="7"/>
  <c r="Q18" i="7"/>
  <c r="O18" i="7" s="1"/>
  <c r="P18" i="7" s="1"/>
  <c r="N18" i="7"/>
  <c r="AF18" i="7" s="1"/>
  <c r="J18" i="7"/>
  <c r="F18" i="7"/>
  <c r="AF17" i="7"/>
  <c r="AB17" i="7"/>
  <c r="X17" i="7"/>
  <c r="Q17" i="7"/>
  <c r="N17" i="7"/>
  <c r="W17" i="7" s="1"/>
  <c r="J17" i="7"/>
  <c r="F17" i="7"/>
  <c r="AB16" i="7"/>
  <c r="X16" i="7"/>
  <c r="W16" i="7"/>
  <c r="AK16" i="7" s="1"/>
  <c r="S16" i="7"/>
  <c r="O16" i="7"/>
  <c r="P16" i="7" s="1"/>
  <c r="N16" i="7"/>
  <c r="AF16" i="7" s="1"/>
  <c r="J16" i="7"/>
  <c r="F16" i="7"/>
  <c r="G16" i="7" s="1"/>
  <c r="AL15" i="7"/>
  <c r="AB15" i="7"/>
  <c r="X15" i="7"/>
  <c r="Q15" i="7"/>
  <c r="S15" i="7" s="1"/>
  <c r="O15" i="7"/>
  <c r="N15" i="7"/>
  <c r="J15" i="7"/>
  <c r="F15" i="7"/>
  <c r="AG15" i="7" s="1"/>
  <c r="AF14" i="7"/>
  <c r="AB14" i="7"/>
  <c r="X14" i="7"/>
  <c r="Q14" i="7"/>
  <c r="N14" i="7"/>
  <c r="W14" i="7" s="1"/>
  <c r="J14" i="7"/>
  <c r="F14" i="7"/>
  <c r="AB13" i="7"/>
  <c r="X13" i="7"/>
  <c r="S13" i="7"/>
  <c r="Q13" i="7"/>
  <c r="O13" i="7"/>
  <c r="P13" i="7" s="1"/>
  <c r="N13" i="7"/>
  <c r="J13" i="7"/>
  <c r="F13" i="7"/>
  <c r="AB12" i="7"/>
  <c r="X12" i="7"/>
  <c r="Q12" i="7"/>
  <c r="N12" i="7"/>
  <c r="AF12" i="7" s="1"/>
  <c r="J12" i="7"/>
  <c r="F12" i="7"/>
  <c r="AL11" i="7"/>
  <c r="AB11" i="7"/>
  <c r="X11" i="7"/>
  <c r="S11" i="7"/>
  <c r="Q11" i="7"/>
  <c r="O11" i="7" s="1"/>
  <c r="P11" i="7" s="1"/>
  <c r="N11" i="7"/>
  <c r="AF11" i="7" s="1"/>
  <c r="J11" i="7"/>
  <c r="F11" i="7"/>
  <c r="G11" i="7" s="1"/>
  <c r="AB10" i="7"/>
  <c r="X10" i="7"/>
  <c r="AL10" i="7" s="1"/>
  <c r="Q10" i="7"/>
  <c r="S10" i="7" s="1"/>
  <c r="O10" i="7"/>
  <c r="N10" i="7"/>
  <c r="J10" i="7"/>
  <c r="F10" i="7"/>
  <c r="AB9" i="7"/>
  <c r="X9" i="7"/>
  <c r="Q9" i="7"/>
  <c r="N9" i="7"/>
  <c r="J9" i="7"/>
  <c r="F9" i="7"/>
  <c r="AL9" i="7" s="1"/>
  <c r="AB8" i="7"/>
  <c r="X8" i="7"/>
  <c r="W8" i="7"/>
  <c r="AK8" i="7" s="1"/>
  <c r="Q8" i="7"/>
  <c r="S8" i="7" s="1"/>
  <c r="N8" i="7"/>
  <c r="AF8" i="7" s="1"/>
  <c r="J8" i="7"/>
  <c r="F8" i="7"/>
  <c r="G8" i="7" s="1"/>
  <c r="AB7" i="7"/>
  <c r="X7" i="7"/>
  <c r="Y7" i="7" s="1"/>
  <c r="S7" i="7"/>
  <c r="O7" i="7"/>
  <c r="P7" i="7" s="1"/>
  <c r="AB6" i="7"/>
  <c r="X6" i="7"/>
  <c r="Y6" i="7" s="1"/>
  <c r="B1" i="7"/>
  <c r="C3" i="7" s="1"/>
  <c r="AI43" i="8"/>
  <c r="AD43" i="8"/>
  <c r="AI39" i="8"/>
  <c r="AD39" i="8"/>
  <c r="AL38" i="8"/>
  <c r="AB38" i="8"/>
  <c r="X38" i="8"/>
  <c r="Y38" i="8" s="1"/>
  <c r="Q38" i="8"/>
  <c r="N38" i="8"/>
  <c r="W38" i="8" s="1"/>
  <c r="AK38" i="8" s="1"/>
  <c r="J38" i="8"/>
  <c r="F38" i="8"/>
  <c r="G38" i="8" s="1"/>
  <c r="AB37" i="8"/>
  <c r="X37" i="8"/>
  <c r="Q37" i="8"/>
  <c r="S37" i="8" s="1"/>
  <c r="N37" i="8"/>
  <c r="J37" i="8"/>
  <c r="F37" i="8"/>
  <c r="G37" i="8" s="1"/>
  <c r="AB36" i="8"/>
  <c r="X36" i="8"/>
  <c r="Q36" i="8"/>
  <c r="S36" i="8" s="1"/>
  <c r="O36" i="8"/>
  <c r="P36" i="8" s="1"/>
  <c r="N36" i="8"/>
  <c r="J36" i="8"/>
  <c r="F36" i="8"/>
  <c r="AL36" i="8" s="1"/>
  <c r="AB35" i="8"/>
  <c r="X35" i="8"/>
  <c r="Q35" i="8"/>
  <c r="N35" i="8"/>
  <c r="W35" i="8" s="1"/>
  <c r="J35" i="8"/>
  <c r="F35" i="8"/>
  <c r="AB34" i="8"/>
  <c r="X34" i="8"/>
  <c r="W34" i="8"/>
  <c r="AK34" i="8" s="1"/>
  <c r="S34" i="8"/>
  <c r="Q34" i="8"/>
  <c r="O34" i="8"/>
  <c r="P34" i="8" s="1"/>
  <c r="N34" i="8"/>
  <c r="AF34" i="8" s="1"/>
  <c r="J34" i="8"/>
  <c r="F34" i="8"/>
  <c r="AL34" i="8" s="1"/>
  <c r="AB33" i="8"/>
  <c r="X33" i="8"/>
  <c r="S33" i="8"/>
  <c r="O33" i="8"/>
  <c r="N33" i="8"/>
  <c r="J33" i="8"/>
  <c r="F33" i="8"/>
  <c r="AB32" i="8"/>
  <c r="X32" i="8"/>
  <c r="S32" i="8"/>
  <c r="Q32" i="8"/>
  <c r="O32" i="8" s="1"/>
  <c r="P32" i="8" s="1"/>
  <c r="N32" i="8"/>
  <c r="W32" i="8" s="1"/>
  <c r="J32" i="8"/>
  <c r="F32" i="8"/>
  <c r="G32" i="8" s="1"/>
  <c r="AB31" i="8"/>
  <c r="X31" i="8"/>
  <c r="W31" i="8"/>
  <c r="AK31" i="8" s="1"/>
  <c r="S31" i="8"/>
  <c r="Q31" i="8"/>
  <c r="O31" i="8"/>
  <c r="P31" i="8" s="1"/>
  <c r="N31" i="8"/>
  <c r="AF31" i="8" s="1"/>
  <c r="J31" i="8"/>
  <c r="F31" i="8"/>
  <c r="G31" i="8" s="1"/>
  <c r="AB30" i="8"/>
  <c r="X30" i="8"/>
  <c r="S30" i="8"/>
  <c r="O30" i="8"/>
  <c r="N30" i="8"/>
  <c r="J30" i="8"/>
  <c r="F30" i="8"/>
  <c r="AF29" i="8"/>
  <c r="AB29" i="8"/>
  <c r="X29" i="8"/>
  <c r="Q29" i="8"/>
  <c r="S29" i="8" s="1"/>
  <c r="O29" i="8"/>
  <c r="N29" i="8"/>
  <c r="W29" i="8" s="1"/>
  <c r="J29" i="8"/>
  <c r="F29" i="8"/>
  <c r="AL29" i="8" s="1"/>
  <c r="AG28" i="8"/>
  <c r="AB28" i="8"/>
  <c r="X28" i="8"/>
  <c r="S28" i="8"/>
  <c r="Q28" i="8"/>
  <c r="O28" i="8"/>
  <c r="N28" i="8"/>
  <c r="AF28" i="8" s="1"/>
  <c r="J28" i="8"/>
  <c r="G28" i="8"/>
  <c r="F28" i="8"/>
  <c r="AB27" i="8"/>
  <c r="X27" i="8"/>
  <c r="S27" i="8"/>
  <c r="Q27" i="8"/>
  <c r="O27" i="8" s="1"/>
  <c r="N27" i="8"/>
  <c r="J27" i="8"/>
  <c r="F27" i="8"/>
  <c r="AF26" i="8"/>
  <c r="AB26" i="8"/>
  <c r="X26" i="8"/>
  <c r="S26" i="8"/>
  <c r="Q26" i="8"/>
  <c r="O26" i="8"/>
  <c r="P26" i="8" s="1"/>
  <c r="N26" i="8"/>
  <c r="W26" i="8" s="1"/>
  <c r="AK26" i="8" s="1"/>
  <c r="J26" i="8"/>
  <c r="F26" i="8"/>
  <c r="AB25" i="8"/>
  <c r="X25" i="8"/>
  <c r="S25" i="8"/>
  <c r="O25" i="8"/>
  <c r="P25" i="8" s="1"/>
  <c r="N25" i="8"/>
  <c r="J25" i="8"/>
  <c r="F25" i="8"/>
  <c r="AB24" i="8"/>
  <c r="X24" i="8"/>
  <c r="Q24" i="8"/>
  <c r="O24" i="8" s="1"/>
  <c r="N24" i="8"/>
  <c r="W24" i="8" s="1"/>
  <c r="AK24" i="8" s="1"/>
  <c r="J24" i="8"/>
  <c r="F24" i="8"/>
  <c r="AB23" i="8"/>
  <c r="X23" i="8"/>
  <c r="Q23" i="8"/>
  <c r="S23" i="8" s="1"/>
  <c r="N23" i="8"/>
  <c r="J23" i="8"/>
  <c r="F23" i="8"/>
  <c r="G23" i="8" s="1"/>
  <c r="AB22" i="8"/>
  <c r="X22" i="8"/>
  <c r="Q22" i="8"/>
  <c r="S22" i="8" s="1"/>
  <c r="O22" i="8"/>
  <c r="N22" i="8"/>
  <c r="W22" i="8" s="1"/>
  <c r="J22" i="8"/>
  <c r="F22" i="8"/>
  <c r="AL22" i="8" s="1"/>
  <c r="AG21" i="8"/>
  <c r="AB21" i="8"/>
  <c r="X21" i="8"/>
  <c r="S21" i="8"/>
  <c r="Q21" i="8"/>
  <c r="O21" i="8"/>
  <c r="P21" i="8" s="1"/>
  <c r="N21" i="8"/>
  <c r="AF21" i="8" s="1"/>
  <c r="J21" i="8"/>
  <c r="G21" i="8"/>
  <c r="F21" i="8"/>
  <c r="AB20" i="8"/>
  <c r="X20" i="8"/>
  <c r="AL20" i="8" s="1"/>
  <c r="S20" i="8"/>
  <c r="Q20" i="8"/>
  <c r="O20" i="8"/>
  <c r="N20" i="8"/>
  <c r="J20" i="8"/>
  <c r="G20" i="8"/>
  <c r="F20" i="8"/>
  <c r="AL19" i="8"/>
  <c r="AB19" i="8"/>
  <c r="X19" i="8"/>
  <c r="Q19" i="8"/>
  <c r="N19" i="8"/>
  <c r="J19" i="8"/>
  <c r="G19" i="8"/>
  <c r="F19" i="8"/>
  <c r="AL18" i="8"/>
  <c r="AB18" i="8"/>
  <c r="X18" i="8"/>
  <c r="W18" i="8"/>
  <c r="AK18" i="8" s="1"/>
  <c r="Q18" i="8"/>
  <c r="S18" i="8" s="1"/>
  <c r="N18" i="8"/>
  <c r="AF18" i="8" s="1"/>
  <c r="J18" i="8"/>
  <c r="F18" i="8"/>
  <c r="G18" i="8" s="1"/>
  <c r="AB17" i="8"/>
  <c r="X17" i="8"/>
  <c r="Q17" i="8"/>
  <c r="S17" i="8" s="1"/>
  <c r="O17" i="8"/>
  <c r="N17" i="8"/>
  <c r="J17" i="8"/>
  <c r="F17" i="8"/>
  <c r="AB16" i="8"/>
  <c r="X16" i="8"/>
  <c r="Y16" i="8" s="1"/>
  <c r="S16" i="8"/>
  <c r="O16" i="8"/>
  <c r="P16" i="8" s="1"/>
  <c r="N16" i="8"/>
  <c r="W16" i="8" s="1"/>
  <c r="AK16" i="8" s="1"/>
  <c r="J16" i="8"/>
  <c r="F16" i="8"/>
  <c r="G16" i="8" s="1"/>
  <c r="AL15" i="8"/>
  <c r="AB15" i="8"/>
  <c r="X15" i="8"/>
  <c r="Q15" i="8"/>
  <c r="S15" i="8" s="1"/>
  <c r="O15" i="8"/>
  <c r="N15" i="8"/>
  <c r="J15" i="8"/>
  <c r="F15" i="8"/>
  <c r="G15" i="8" s="1"/>
  <c r="AB14" i="8"/>
  <c r="X14" i="8"/>
  <c r="AL14" i="8" s="1"/>
  <c r="Q14" i="8"/>
  <c r="S14" i="8" s="1"/>
  <c r="O14" i="8"/>
  <c r="P14" i="8" s="1"/>
  <c r="N14" i="8"/>
  <c r="J14" i="8"/>
  <c r="F14" i="8"/>
  <c r="AF13" i="8"/>
  <c r="AB13" i="8"/>
  <c r="X13" i="8"/>
  <c r="S13" i="8"/>
  <c r="Q13" i="8"/>
  <c r="O13" i="8" s="1"/>
  <c r="P13" i="8" s="1"/>
  <c r="N13" i="8"/>
  <c r="W13" i="8" s="1"/>
  <c r="AK13" i="8" s="1"/>
  <c r="J13" i="8"/>
  <c r="F13" i="8"/>
  <c r="AB12" i="8"/>
  <c r="X12" i="8"/>
  <c r="Q12" i="8"/>
  <c r="S12" i="8" s="1"/>
  <c r="N12" i="8"/>
  <c r="J12" i="8"/>
  <c r="F12" i="8"/>
  <c r="G12" i="8" s="1"/>
  <c r="AB11" i="8"/>
  <c r="Y11" i="8"/>
  <c r="X11" i="8"/>
  <c r="Q11" i="8"/>
  <c r="S11" i="8" s="1"/>
  <c r="N11" i="8"/>
  <c r="W11" i="8" s="1"/>
  <c r="AK11" i="8" s="1"/>
  <c r="J11" i="8"/>
  <c r="F11" i="8"/>
  <c r="AB10" i="8"/>
  <c r="X10" i="8"/>
  <c r="S10" i="8"/>
  <c r="Q10" i="8"/>
  <c r="O10" i="8"/>
  <c r="N10" i="8"/>
  <c r="J10" i="8"/>
  <c r="F10" i="8"/>
  <c r="AB9" i="8"/>
  <c r="X9" i="8"/>
  <c r="S9" i="8"/>
  <c r="Q9" i="8"/>
  <c r="O9" i="8"/>
  <c r="N9" i="8"/>
  <c r="J9" i="8"/>
  <c r="F9" i="8"/>
  <c r="AB8" i="8"/>
  <c r="X8" i="8"/>
  <c r="S8" i="8"/>
  <c r="Q8" i="8"/>
  <c r="O8" i="8" s="1"/>
  <c r="N8" i="8"/>
  <c r="J8" i="8"/>
  <c r="F8" i="8"/>
  <c r="AB7" i="8"/>
  <c r="X7" i="8"/>
  <c r="Y7" i="8" s="1"/>
  <c r="S7" i="8"/>
  <c r="O7" i="8"/>
  <c r="P7" i="8" s="1"/>
  <c r="AB6" i="8"/>
  <c r="X6" i="8"/>
  <c r="Y6" i="8" s="1"/>
  <c r="B1" i="8"/>
  <c r="C8" i="8" s="1"/>
  <c r="AI43" i="9"/>
  <c r="AD43" i="9"/>
  <c r="AI39" i="9"/>
  <c r="AD39" i="9"/>
  <c r="AB38" i="9"/>
  <c r="X38" i="9"/>
  <c r="S38" i="9"/>
  <c r="Q38" i="9"/>
  <c r="O38" i="9"/>
  <c r="N38" i="9"/>
  <c r="J38" i="9"/>
  <c r="G38" i="9"/>
  <c r="F38" i="9"/>
  <c r="AB37" i="9"/>
  <c r="X37" i="9"/>
  <c r="W37" i="9"/>
  <c r="AK37" i="9" s="1"/>
  <c r="Q37" i="9"/>
  <c r="N37" i="9"/>
  <c r="AF37" i="9" s="1"/>
  <c r="J37" i="9"/>
  <c r="F37" i="9"/>
  <c r="G37" i="9" s="1"/>
  <c r="AB36" i="9"/>
  <c r="X36" i="9"/>
  <c r="Q36" i="9"/>
  <c r="S36" i="9" s="1"/>
  <c r="N36" i="9"/>
  <c r="AF36" i="9" s="1"/>
  <c r="J36" i="9"/>
  <c r="F36" i="9"/>
  <c r="G36" i="9" s="1"/>
  <c r="AB35" i="9"/>
  <c r="Y35" i="9"/>
  <c r="X35" i="9"/>
  <c r="Q35" i="9"/>
  <c r="S35" i="9" s="1"/>
  <c r="O35" i="9"/>
  <c r="N35" i="9"/>
  <c r="W35" i="9" s="1"/>
  <c r="AK35" i="9" s="1"/>
  <c r="J35" i="9"/>
  <c r="F35" i="9"/>
  <c r="AB34" i="9"/>
  <c r="X34" i="9"/>
  <c r="Q34" i="9"/>
  <c r="N34" i="9"/>
  <c r="W34" i="9" s="1"/>
  <c r="AK34" i="9" s="1"/>
  <c r="J34" i="9"/>
  <c r="F34" i="9"/>
  <c r="AB33" i="9"/>
  <c r="X33" i="9"/>
  <c r="W33" i="9"/>
  <c r="AK33" i="9" s="1"/>
  <c r="S33" i="9"/>
  <c r="P33" i="9"/>
  <c r="O33" i="9"/>
  <c r="N33" i="9"/>
  <c r="AF33" i="9" s="1"/>
  <c r="J33" i="9"/>
  <c r="F33" i="9"/>
  <c r="AG33" i="9" s="1"/>
  <c r="AL32" i="9"/>
  <c r="AB32" i="9"/>
  <c r="X32" i="9"/>
  <c r="Q32" i="9"/>
  <c r="S32" i="9" s="1"/>
  <c r="O32" i="9"/>
  <c r="P32" i="9" s="1"/>
  <c r="N32" i="9"/>
  <c r="W32" i="9" s="1"/>
  <c r="AK32" i="9" s="1"/>
  <c r="J32" i="9"/>
  <c r="F32" i="9"/>
  <c r="AG32" i="9" s="1"/>
  <c r="AB31" i="9"/>
  <c r="X31" i="9"/>
  <c r="Y31" i="9" s="1"/>
  <c r="S31" i="9"/>
  <c r="Q31" i="9"/>
  <c r="O31" i="9" s="1"/>
  <c r="P31" i="9" s="1"/>
  <c r="N31" i="9"/>
  <c r="W31" i="9" s="1"/>
  <c r="AK31" i="9" s="1"/>
  <c r="J31" i="9"/>
  <c r="G31" i="9"/>
  <c r="F31" i="9"/>
  <c r="AB30" i="9"/>
  <c r="X30" i="9"/>
  <c r="S30" i="9"/>
  <c r="O30" i="9"/>
  <c r="P30" i="9" s="1"/>
  <c r="N30" i="9"/>
  <c r="AF30" i="9" s="1"/>
  <c r="J30" i="9"/>
  <c r="F30" i="9"/>
  <c r="G30" i="9" s="1"/>
  <c r="AB29" i="9"/>
  <c r="X29" i="9"/>
  <c r="Y29" i="9" s="1"/>
  <c r="Q29" i="9"/>
  <c r="S29" i="9" s="1"/>
  <c r="O29" i="9"/>
  <c r="P29" i="9" s="1"/>
  <c r="N29" i="9"/>
  <c r="W29" i="9" s="1"/>
  <c r="AK29" i="9" s="1"/>
  <c r="J29" i="9"/>
  <c r="F29" i="9"/>
  <c r="AB28" i="9"/>
  <c r="X28" i="9"/>
  <c r="S28" i="9"/>
  <c r="Q28" i="9"/>
  <c r="O28" i="9" s="1"/>
  <c r="N28" i="9"/>
  <c r="W28" i="9" s="1"/>
  <c r="AK28" i="9" s="1"/>
  <c r="J28" i="9"/>
  <c r="G28" i="9"/>
  <c r="F28" i="9"/>
  <c r="AB27" i="9"/>
  <c r="X27" i="9"/>
  <c r="Q27" i="9"/>
  <c r="N27" i="9"/>
  <c r="J27" i="9"/>
  <c r="F27" i="9"/>
  <c r="AB26" i="9"/>
  <c r="X26" i="9"/>
  <c r="Q26" i="9"/>
  <c r="S26" i="9" s="1"/>
  <c r="O26" i="9"/>
  <c r="N26" i="9"/>
  <c r="W26" i="9" s="1"/>
  <c r="J26" i="9"/>
  <c r="F26" i="9"/>
  <c r="G26" i="9" s="1"/>
  <c r="AF25" i="9"/>
  <c r="AB25" i="9"/>
  <c r="X25" i="9"/>
  <c r="S25" i="9"/>
  <c r="O25" i="9"/>
  <c r="N25" i="9"/>
  <c r="J25" i="9"/>
  <c r="F25" i="9"/>
  <c r="AL25" i="9" s="1"/>
  <c r="AB24" i="9"/>
  <c r="X24" i="9"/>
  <c r="Q24" i="9"/>
  <c r="N24" i="9"/>
  <c r="J24" i="9"/>
  <c r="F24" i="9"/>
  <c r="AB23" i="9"/>
  <c r="X23" i="9"/>
  <c r="Q23" i="9"/>
  <c r="S23" i="9" s="1"/>
  <c r="O23" i="9"/>
  <c r="N23" i="9"/>
  <c r="W23" i="9" s="1"/>
  <c r="J23" i="9"/>
  <c r="F23" i="9"/>
  <c r="G23" i="9" s="1"/>
  <c r="AG22" i="9"/>
  <c r="AB22" i="9"/>
  <c r="X22" i="9"/>
  <c r="S22" i="9"/>
  <c r="Q22" i="9"/>
  <c r="O22" i="9"/>
  <c r="N22" i="9"/>
  <c r="J22" i="9"/>
  <c r="G22" i="9"/>
  <c r="F22" i="9"/>
  <c r="AL22" i="9" s="1"/>
  <c r="AB21" i="9"/>
  <c r="X21" i="9"/>
  <c r="W21" i="9"/>
  <c r="S21" i="9"/>
  <c r="Q21" i="9"/>
  <c r="O21" i="9"/>
  <c r="N21" i="9"/>
  <c r="AF21" i="9" s="1"/>
  <c r="J21" i="9"/>
  <c r="F21" i="9"/>
  <c r="AG21" i="9" s="1"/>
  <c r="AB20" i="9"/>
  <c r="X20" i="9"/>
  <c r="W20" i="9"/>
  <c r="AK20" i="9" s="1"/>
  <c r="Q20" i="9"/>
  <c r="O20" i="9" s="1"/>
  <c r="P20" i="9"/>
  <c r="N20" i="9"/>
  <c r="AF20" i="9" s="1"/>
  <c r="J20" i="9"/>
  <c r="F20" i="9"/>
  <c r="G20" i="9" s="1"/>
  <c r="AF19" i="9"/>
  <c r="AB19" i="9"/>
  <c r="X19" i="9"/>
  <c r="Q19" i="9"/>
  <c r="S19" i="9" s="1"/>
  <c r="N19" i="9"/>
  <c r="W19" i="9" s="1"/>
  <c r="AK19" i="9" s="1"/>
  <c r="J19" i="9"/>
  <c r="F19" i="9"/>
  <c r="G19" i="9" s="1"/>
  <c r="AL18" i="9"/>
  <c r="AB18" i="9"/>
  <c r="X18" i="9"/>
  <c r="Q18" i="9"/>
  <c r="S18" i="9" s="1"/>
  <c r="O18" i="9"/>
  <c r="N18" i="9"/>
  <c r="W18" i="9" s="1"/>
  <c r="J18" i="9"/>
  <c r="F18" i="9"/>
  <c r="AG18" i="9" s="1"/>
  <c r="AB17" i="9"/>
  <c r="X17" i="9"/>
  <c r="S17" i="9"/>
  <c r="Q17" i="9"/>
  <c r="O17" i="9" s="1"/>
  <c r="N17" i="9"/>
  <c r="W17" i="9" s="1"/>
  <c r="AK17" i="9" s="1"/>
  <c r="J17" i="9"/>
  <c r="F17" i="9"/>
  <c r="G17" i="9" s="1"/>
  <c r="AB16" i="9"/>
  <c r="X16" i="9"/>
  <c r="S16" i="9"/>
  <c r="O16" i="9"/>
  <c r="N16" i="9"/>
  <c r="J16" i="9"/>
  <c r="F16" i="9"/>
  <c r="G16" i="9" s="1"/>
  <c r="AB15" i="9"/>
  <c r="X15" i="9"/>
  <c r="Y15" i="9" s="1"/>
  <c r="Q15" i="9"/>
  <c r="S15" i="9" s="1"/>
  <c r="O15" i="9"/>
  <c r="P15" i="9" s="1"/>
  <c r="N15" i="9"/>
  <c r="W15" i="9" s="1"/>
  <c r="AK15" i="9" s="1"/>
  <c r="J15" i="9"/>
  <c r="F15" i="9"/>
  <c r="AB14" i="9"/>
  <c r="X14" i="9"/>
  <c r="S14" i="9"/>
  <c r="Q14" i="9"/>
  <c r="O14" i="9" s="1"/>
  <c r="N14" i="9"/>
  <c r="W14" i="9" s="1"/>
  <c r="AK14" i="9" s="1"/>
  <c r="J14" i="9"/>
  <c r="F14" i="9"/>
  <c r="AB13" i="9"/>
  <c r="X13" i="9"/>
  <c r="W13" i="9"/>
  <c r="AK13" i="9" s="1"/>
  <c r="Q13" i="9"/>
  <c r="N13" i="9"/>
  <c r="AF13" i="9" s="1"/>
  <c r="J13" i="9"/>
  <c r="F13" i="9"/>
  <c r="AB12" i="9"/>
  <c r="X12" i="9"/>
  <c r="Q12" i="9"/>
  <c r="S12" i="9" s="1"/>
  <c r="O12" i="9"/>
  <c r="N12" i="9"/>
  <c r="W12" i="9" s="1"/>
  <c r="AK12" i="9" s="1"/>
  <c r="J12" i="9"/>
  <c r="F12" i="9"/>
  <c r="AF11" i="9"/>
  <c r="AB11" i="9"/>
  <c r="X11" i="9"/>
  <c r="Y11" i="9" s="1"/>
  <c r="S11" i="9"/>
  <c r="Q11" i="9"/>
  <c r="O11" i="9"/>
  <c r="N11" i="9"/>
  <c r="W11" i="9" s="1"/>
  <c r="AK11" i="9" s="1"/>
  <c r="J11" i="9"/>
  <c r="F11" i="9"/>
  <c r="AB10" i="9"/>
  <c r="X10" i="9"/>
  <c r="Q10" i="9"/>
  <c r="S10" i="9" s="1"/>
  <c r="N10" i="9"/>
  <c r="AF10" i="9" s="1"/>
  <c r="J10" i="9"/>
  <c r="F10" i="9"/>
  <c r="G10" i="9" s="1"/>
  <c r="AL9" i="9"/>
  <c r="AB9" i="9"/>
  <c r="X9" i="9"/>
  <c r="Y9" i="9" s="1"/>
  <c r="W9" i="9"/>
  <c r="AK9" i="9" s="1"/>
  <c r="S9" i="9"/>
  <c r="Q9" i="9"/>
  <c r="O9" i="9"/>
  <c r="N9" i="9"/>
  <c r="AF9" i="9" s="1"/>
  <c r="J9" i="9"/>
  <c r="F9" i="9"/>
  <c r="G9" i="9" s="1"/>
  <c r="AB8" i="9"/>
  <c r="X8" i="9"/>
  <c r="W8" i="9"/>
  <c r="AK8" i="9" s="1"/>
  <c r="S8" i="9"/>
  <c r="Q8" i="9"/>
  <c r="O8" i="9"/>
  <c r="P8" i="9" s="1"/>
  <c r="N8" i="9"/>
  <c r="AF8" i="9" s="1"/>
  <c r="J8" i="9"/>
  <c r="G8" i="9"/>
  <c r="F8" i="9"/>
  <c r="AL8" i="9" s="1"/>
  <c r="AB7" i="9"/>
  <c r="X7" i="9"/>
  <c r="Y7" i="9" s="1"/>
  <c r="S7" i="9"/>
  <c r="P7" i="9"/>
  <c r="O7" i="9"/>
  <c r="AB6" i="9"/>
  <c r="X6" i="9"/>
  <c r="Y6" i="9" s="1"/>
  <c r="B1" i="9"/>
  <c r="AI43" i="10"/>
  <c r="AD43" i="10"/>
  <c r="AI39" i="10"/>
  <c r="AD39" i="10"/>
  <c r="AK38" i="10"/>
  <c r="AB38" i="10"/>
  <c r="X38" i="10"/>
  <c r="Y38" i="10" s="1"/>
  <c r="Q38" i="10"/>
  <c r="S38" i="10" s="1"/>
  <c r="O38" i="10"/>
  <c r="P38" i="10" s="1"/>
  <c r="N38" i="10"/>
  <c r="W38" i="10" s="1"/>
  <c r="J38" i="10"/>
  <c r="F38" i="10"/>
  <c r="AG38" i="10" s="1"/>
  <c r="AF37" i="10"/>
  <c r="AB37" i="10"/>
  <c r="X37" i="10"/>
  <c r="S37" i="10"/>
  <c r="Q37" i="10"/>
  <c r="O37" i="10"/>
  <c r="N37" i="10"/>
  <c r="W37" i="10" s="1"/>
  <c r="Y37" i="10" s="1"/>
  <c r="J37" i="10"/>
  <c r="G37" i="10"/>
  <c r="F37" i="10"/>
  <c r="AL37" i="10" s="1"/>
  <c r="AB36" i="10"/>
  <c r="X36" i="10"/>
  <c r="AL36" i="10" s="1"/>
  <c r="S36" i="10"/>
  <c r="Q36" i="10"/>
  <c r="O36" i="10"/>
  <c r="P36" i="10" s="1"/>
  <c r="N36" i="10"/>
  <c r="AF36" i="10" s="1"/>
  <c r="J36" i="10"/>
  <c r="G36" i="10"/>
  <c r="F36" i="10"/>
  <c r="AF35" i="10"/>
  <c r="AB35" i="10"/>
  <c r="X35" i="10"/>
  <c r="Q35" i="10"/>
  <c r="N35" i="10"/>
  <c r="W35" i="10" s="1"/>
  <c r="AK35" i="10" s="1"/>
  <c r="J35" i="10"/>
  <c r="F35" i="10"/>
  <c r="AF34" i="10"/>
  <c r="AB34" i="10"/>
  <c r="X34" i="10"/>
  <c r="Q34" i="10"/>
  <c r="S34" i="10" s="1"/>
  <c r="N34" i="10"/>
  <c r="W34" i="10" s="1"/>
  <c r="AK34" i="10" s="1"/>
  <c r="J34" i="10"/>
  <c r="F34" i="10"/>
  <c r="G34" i="10" s="1"/>
  <c r="AB33" i="10"/>
  <c r="X33" i="10"/>
  <c r="S33" i="10"/>
  <c r="O33" i="10"/>
  <c r="N33" i="10"/>
  <c r="J33" i="10"/>
  <c r="G33" i="10"/>
  <c r="F33" i="10"/>
  <c r="AG33" i="10" s="1"/>
  <c r="AF32" i="10"/>
  <c r="AB32" i="10"/>
  <c r="X32" i="10"/>
  <c r="S32" i="10"/>
  <c r="Q32" i="10"/>
  <c r="O32" i="10" s="1"/>
  <c r="P32" i="10"/>
  <c r="N32" i="10"/>
  <c r="W32" i="10" s="1"/>
  <c r="AK32" i="10" s="1"/>
  <c r="J32" i="10"/>
  <c r="F32" i="10"/>
  <c r="AB31" i="10"/>
  <c r="X31" i="10"/>
  <c r="W31" i="10"/>
  <c r="AK31" i="10" s="1"/>
  <c r="Q31" i="10"/>
  <c r="S31" i="10" s="1"/>
  <c r="N31" i="10"/>
  <c r="AF31" i="10" s="1"/>
  <c r="J31" i="10"/>
  <c r="F31" i="10"/>
  <c r="G31" i="10" s="1"/>
  <c r="AB30" i="10"/>
  <c r="X30" i="10"/>
  <c r="S30" i="10"/>
  <c r="O30" i="10"/>
  <c r="N30" i="10"/>
  <c r="J30" i="10"/>
  <c r="F30" i="10"/>
  <c r="G30" i="10" s="1"/>
  <c r="AB29" i="10"/>
  <c r="X29" i="10"/>
  <c r="Q29" i="10"/>
  <c r="O29" i="10" s="1"/>
  <c r="P29" i="10" s="1"/>
  <c r="N29" i="10"/>
  <c r="AF29" i="10" s="1"/>
  <c r="J29" i="10"/>
  <c r="F29" i="10"/>
  <c r="AL29" i="10" s="1"/>
  <c r="AF28" i="10"/>
  <c r="AB28" i="10"/>
  <c r="X28" i="10"/>
  <c r="W28" i="10"/>
  <c r="AK28" i="10" s="1"/>
  <c r="Q28" i="10"/>
  <c r="S28" i="10" s="1"/>
  <c r="N28" i="10"/>
  <c r="J28" i="10"/>
  <c r="F28" i="10"/>
  <c r="G28" i="10" s="1"/>
  <c r="AB27" i="10"/>
  <c r="X27" i="10"/>
  <c r="Q27" i="10"/>
  <c r="S27" i="10" s="1"/>
  <c r="O27" i="10"/>
  <c r="P27" i="10" s="1"/>
  <c r="N27" i="10"/>
  <c r="J27" i="10"/>
  <c r="F27" i="10"/>
  <c r="AL27" i="10" s="1"/>
  <c r="AF26" i="10"/>
  <c r="AB26" i="10"/>
  <c r="X26" i="10"/>
  <c r="Q26" i="10"/>
  <c r="O26" i="10" s="1"/>
  <c r="P26" i="10" s="1"/>
  <c r="N26" i="10"/>
  <c r="W26" i="10" s="1"/>
  <c r="AK26" i="10" s="1"/>
  <c r="J26" i="10"/>
  <c r="F26" i="10"/>
  <c r="AG25" i="10"/>
  <c r="AB25" i="10"/>
  <c r="X25" i="10"/>
  <c r="S25" i="10"/>
  <c r="O25" i="10"/>
  <c r="N25" i="10"/>
  <c r="AF25" i="10" s="1"/>
  <c r="J25" i="10"/>
  <c r="F25" i="10"/>
  <c r="G25" i="10" s="1"/>
  <c r="AL24" i="10"/>
  <c r="AB24" i="10"/>
  <c r="X24" i="10"/>
  <c r="Q24" i="10"/>
  <c r="S24" i="10" s="1"/>
  <c r="O24" i="10"/>
  <c r="N24" i="10"/>
  <c r="J24" i="10"/>
  <c r="F24" i="10"/>
  <c r="AF23" i="10"/>
  <c r="AB23" i="10"/>
  <c r="X23" i="10"/>
  <c r="Q23" i="10"/>
  <c r="N23" i="10"/>
  <c r="W23" i="10" s="1"/>
  <c r="AK23" i="10" s="1"/>
  <c r="J23" i="10"/>
  <c r="G23" i="10"/>
  <c r="F23" i="10"/>
  <c r="AB22" i="10"/>
  <c r="X22" i="10"/>
  <c r="W22" i="10"/>
  <c r="AK22" i="10" s="1"/>
  <c r="Q22" i="10"/>
  <c r="S22" i="10" s="1"/>
  <c r="N22" i="10"/>
  <c r="AF22" i="10" s="1"/>
  <c r="J22" i="10"/>
  <c r="F22" i="10"/>
  <c r="G22" i="10" s="1"/>
  <c r="AB21" i="10"/>
  <c r="X21" i="10"/>
  <c r="Q21" i="10"/>
  <c r="S21" i="10" s="1"/>
  <c r="O21" i="10"/>
  <c r="N21" i="10"/>
  <c r="W21" i="10" s="1"/>
  <c r="J21" i="10"/>
  <c r="F21" i="10"/>
  <c r="AL21" i="10" s="1"/>
  <c r="AF20" i="10"/>
  <c r="AB20" i="10"/>
  <c r="X20" i="10"/>
  <c r="S20" i="10"/>
  <c r="Q20" i="10"/>
  <c r="O20" i="10"/>
  <c r="AG20" i="10" s="1"/>
  <c r="N20" i="10"/>
  <c r="W20" i="10" s="1"/>
  <c r="J20" i="10"/>
  <c r="G20" i="10"/>
  <c r="F20" i="10"/>
  <c r="AB19" i="10"/>
  <c r="X19" i="10"/>
  <c r="S19" i="10"/>
  <c r="Q19" i="10"/>
  <c r="O19" i="10"/>
  <c r="N19" i="10"/>
  <c r="AF19" i="10" s="1"/>
  <c r="J19" i="10"/>
  <c r="F19" i="10"/>
  <c r="AB18" i="10"/>
  <c r="X18" i="10"/>
  <c r="Q18" i="10"/>
  <c r="N18" i="10"/>
  <c r="AF18" i="10" s="1"/>
  <c r="J18" i="10"/>
  <c r="G18" i="10"/>
  <c r="F18" i="10"/>
  <c r="AL18" i="10" s="1"/>
  <c r="AF17" i="10"/>
  <c r="AB17" i="10"/>
  <c r="X17" i="10"/>
  <c r="Q17" i="10"/>
  <c r="S17" i="10" s="1"/>
  <c r="O17" i="10"/>
  <c r="P17" i="10" s="1"/>
  <c r="N17" i="10"/>
  <c r="W17" i="10" s="1"/>
  <c r="AK17" i="10" s="1"/>
  <c r="J17" i="10"/>
  <c r="F17" i="10"/>
  <c r="G17" i="10" s="1"/>
  <c r="AB16" i="10"/>
  <c r="X16" i="10"/>
  <c r="S16" i="10"/>
  <c r="O16" i="10"/>
  <c r="N16" i="10"/>
  <c r="J16" i="10"/>
  <c r="F16" i="10"/>
  <c r="AB15" i="10"/>
  <c r="X15" i="10"/>
  <c r="Q15" i="10"/>
  <c r="O15" i="10" s="1"/>
  <c r="N15" i="10"/>
  <c r="AF15" i="10" s="1"/>
  <c r="J15" i="10"/>
  <c r="F15" i="10"/>
  <c r="AB14" i="10"/>
  <c r="X14" i="10"/>
  <c r="Q14" i="10"/>
  <c r="S14" i="10" s="1"/>
  <c r="N14" i="10"/>
  <c r="J14" i="10"/>
  <c r="F14" i="10"/>
  <c r="G14" i="10" s="1"/>
  <c r="AB13" i="10"/>
  <c r="X13" i="10"/>
  <c r="Q13" i="10"/>
  <c r="S13" i="10" s="1"/>
  <c r="O13" i="10"/>
  <c r="N13" i="10"/>
  <c r="J13" i="10"/>
  <c r="F13" i="10"/>
  <c r="AL13" i="10" s="1"/>
  <c r="AB12" i="10"/>
  <c r="X12" i="10"/>
  <c r="Q12" i="10"/>
  <c r="O12" i="10" s="1"/>
  <c r="N12" i="10"/>
  <c r="W12" i="10" s="1"/>
  <c r="AK12" i="10" s="1"/>
  <c r="J12" i="10"/>
  <c r="F12" i="10"/>
  <c r="AB11" i="10"/>
  <c r="X11" i="10"/>
  <c r="W11" i="10"/>
  <c r="AK11" i="10" s="1"/>
  <c r="Q11" i="10"/>
  <c r="S11" i="10" s="1"/>
  <c r="N11" i="10"/>
  <c r="AF11" i="10" s="1"/>
  <c r="J11" i="10"/>
  <c r="F11" i="10"/>
  <c r="G11" i="10" s="1"/>
  <c r="AB10" i="10"/>
  <c r="X10" i="10"/>
  <c r="Q10" i="10"/>
  <c r="N10" i="10"/>
  <c r="AF10" i="10" s="1"/>
  <c r="J10" i="10"/>
  <c r="F10" i="10"/>
  <c r="AL9" i="10"/>
  <c r="AB9" i="10"/>
  <c r="X9" i="10"/>
  <c r="W9" i="10"/>
  <c r="AK9" i="10" s="1"/>
  <c r="S9" i="10"/>
  <c r="Q9" i="10"/>
  <c r="O9" i="10"/>
  <c r="N9" i="10"/>
  <c r="AF9" i="10" s="1"/>
  <c r="J9" i="10"/>
  <c r="F9" i="10"/>
  <c r="AG9" i="10" s="1"/>
  <c r="AB8" i="10"/>
  <c r="X8" i="10"/>
  <c r="S8" i="10"/>
  <c r="Q8" i="10"/>
  <c r="O8" i="10"/>
  <c r="N8" i="10"/>
  <c r="J8" i="10"/>
  <c r="F8" i="10"/>
  <c r="AB7" i="10"/>
  <c r="X7" i="10"/>
  <c r="Y7" i="10" s="1"/>
  <c r="S7" i="10"/>
  <c r="O7" i="10"/>
  <c r="P7" i="10" s="1"/>
  <c r="AB6" i="10"/>
  <c r="X6" i="10"/>
  <c r="Y6" i="10" s="1"/>
  <c r="B1" i="10"/>
  <c r="L7" i="10" s="1"/>
  <c r="L8" i="10" s="1"/>
  <c r="L9" i="10" s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24" i="10" s="1"/>
  <c r="L25" i="10" s="1"/>
  <c r="L26" i="10" s="1"/>
  <c r="L27" i="10" s="1"/>
  <c r="L28" i="10" s="1"/>
  <c r="L29" i="10" s="1"/>
  <c r="L30" i="10" s="1"/>
  <c r="L31" i="10" s="1"/>
  <c r="L32" i="10" s="1"/>
  <c r="L33" i="10" s="1"/>
  <c r="L34" i="10" s="1"/>
  <c r="L35" i="10" s="1"/>
  <c r="L36" i="10" s="1"/>
  <c r="L37" i="10" s="1"/>
  <c r="L38" i="10" s="1"/>
  <c r="AI43" i="11"/>
  <c r="AD43" i="11"/>
  <c r="AI39" i="11"/>
  <c r="AD39" i="11"/>
  <c r="AB38" i="11"/>
  <c r="X38" i="11"/>
  <c r="W38" i="11"/>
  <c r="AK38" i="11" s="1"/>
  <c r="S38" i="11"/>
  <c r="Q38" i="11"/>
  <c r="P38" i="11"/>
  <c r="O38" i="11"/>
  <c r="N38" i="11"/>
  <c r="AF38" i="11" s="1"/>
  <c r="J38" i="11"/>
  <c r="G38" i="11"/>
  <c r="F38" i="11"/>
  <c r="AB37" i="11"/>
  <c r="X37" i="11"/>
  <c r="S37" i="11"/>
  <c r="Q37" i="11"/>
  <c r="O37" i="11"/>
  <c r="N37" i="11"/>
  <c r="W37" i="11" s="1"/>
  <c r="AK37" i="11" s="1"/>
  <c r="J37" i="11"/>
  <c r="F37" i="11"/>
  <c r="AB36" i="11"/>
  <c r="X36" i="11"/>
  <c r="Q36" i="11"/>
  <c r="N36" i="11"/>
  <c r="J36" i="11"/>
  <c r="G36" i="11"/>
  <c r="F36" i="11"/>
  <c r="AF35" i="11"/>
  <c r="AB35" i="11"/>
  <c r="X35" i="11"/>
  <c r="Q35" i="11"/>
  <c r="N35" i="11"/>
  <c r="W35" i="11" s="1"/>
  <c r="AK35" i="11" s="1"/>
  <c r="J35" i="11"/>
  <c r="F35" i="11"/>
  <c r="AB34" i="11"/>
  <c r="X34" i="11"/>
  <c r="Q34" i="11"/>
  <c r="S34" i="11" s="1"/>
  <c r="O34" i="11"/>
  <c r="N34" i="11"/>
  <c r="J34" i="11"/>
  <c r="F34" i="11"/>
  <c r="G34" i="11" s="1"/>
  <c r="AB33" i="11"/>
  <c r="X33" i="11"/>
  <c r="S33" i="11"/>
  <c r="O33" i="11"/>
  <c r="N33" i="11"/>
  <c r="J33" i="11"/>
  <c r="F33" i="11"/>
  <c r="AB32" i="11"/>
  <c r="X32" i="11"/>
  <c r="Y32" i="11" s="1"/>
  <c r="Q32" i="11"/>
  <c r="N32" i="11"/>
  <c r="W32" i="11" s="1"/>
  <c r="AK32" i="11" s="1"/>
  <c r="J32" i="11"/>
  <c r="F32" i="11"/>
  <c r="G32" i="11" s="1"/>
  <c r="AG31" i="11"/>
  <c r="AB31" i="11"/>
  <c r="X31" i="11"/>
  <c r="Q31" i="11"/>
  <c r="S31" i="11" s="1"/>
  <c r="O31" i="11"/>
  <c r="N31" i="11"/>
  <c r="J31" i="11"/>
  <c r="F31" i="11"/>
  <c r="G31" i="11" s="1"/>
  <c r="AB30" i="11"/>
  <c r="X30" i="11"/>
  <c r="S30" i="11"/>
  <c r="O30" i="11"/>
  <c r="N30" i="11"/>
  <c r="J30" i="11"/>
  <c r="F30" i="11"/>
  <c r="AB29" i="11"/>
  <c r="X29" i="11"/>
  <c r="Q29" i="11"/>
  <c r="N29" i="11"/>
  <c r="W29" i="11" s="1"/>
  <c r="AK29" i="11" s="1"/>
  <c r="J29" i="11"/>
  <c r="F29" i="11"/>
  <c r="AB28" i="11"/>
  <c r="X28" i="11"/>
  <c r="Q28" i="11"/>
  <c r="S28" i="11" s="1"/>
  <c r="O28" i="11"/>
  <c r="N28" i="11"/>
  <c r="J28" i="11"/>
  <c r="F28" i="11"/>
  <c r="G28" i="11" s="1"/>
  <c r="AB27" i="11"/>
  <c r="X27" i="11"/>
  <c r="S27" i="11"/>
  <c r="Q27" i="11"/>
  <c r="O27" i="11"/>
  <c r="N27" i="11"/>
  <c r="J27" i="11"/>
  <c r="F27" i="11"/>
  <c r="G27" i="11" s="1"/>
  <c r="AB26" i="11"/>
  <c r="X26" i="11"/>
  <c r="W26" i="11"/>
  <c r="S26" i="11"/>
  <c r="Q26" i="11"/>
  <c r="O26" i="11" s="1"/>
  <c r="N26" i="11"/>
  <c r="AF26" i="11" s="1"/>
  <c r="J26" i="11"/>
  <c r="F26" i="11"/>
  <c r="AB25" i="11"/>
  <c r="X25" i="11"/>
  <c r="S25" i="11"/>
  <c r="O25" i="11"/>
  <c r="P25" i="11" s="1"/>
  <c r="N25" i="11"/>
  <c r="AF25" i="11" s="1"/>
  <c r="J25" i="11"/>
  <c r="F25" i="11"/>
  <c r="AB24" i="11"/>
  <c r="X24" i="11"/>
  <c r="AL24" i="11" s="1"/>
  <c r="S24" i="11"/>
  <c r="Q24" i="11"/>
  <c r="O24" i="11"/>
  <c r="N24" i="11"/>
  <c r="J24" i="11"/>
  <c r="G24" i="11"/>
  <c r="F24" i="11"/>
  <c r="AF23" i="11"/>
  <c r="AB23" i="11"/>
  <c r="X23" i="11"/>
  <c r="Q23" i="11"/>
  <c r="N23" i="11"/>
  <c r="W23" i="11" s="1"/>
  <c r="J23" i="11"/>
  <c r="F23" i="11"/>
  <c r="AL22" i="11"/>
  <c r="AB22" i="11"/>
  <c r="X22" i="11"/>
  <c r="S22" i="11"/>
  <c r="Q22" i="11"/>
  <c r="O22" i="11" s="1"/>
  <c r="N22" i="11"/>
  <c r="J22" i="11"/>
  <c r="F22" i="11"/>
  <c r="AG22" i="11" s="1"/>
  <c r="AF21" i="11"/>
  <c r="AB21" i="11"/>
  <c r="Y21" i="11"/>
  <c r="X21" i="11"/>
  <c r="Q21" i="11"/>
  <c r="S21" i="11" s="1"/>
  <c r="O21" i="11"/>
  <c r="P21" i="11" s="1"/>
  <c r="N21" i="11"/>
  <c r="W21" i="11" s="1"/>
  <c r="AK21" i="11" s="1"/>
  <c r="J21" i="11"/>
  <c r="F21" i="11"/>
  <c r="AB20" i="11"/>
  <c r="X20" i="11"/>
  <c r="S20" i="11"/>
  <c r="Q20" i="11"/>
  <c r="O20" i="11"/>
  <c r="N20" i="11"/>
  <c r="J20" i="11"/>
  <c r="F20" i="11"/>
  <c r="AB19" i="11"/>
  <c r="X19" i="11"/>
  <c r="Q19" i="11"/>
  <c r="N19" i="11"/>
  <c r="J19" i="11"/>
  <c r="F19" i="11"/>
  <c r="AB18" i="11"/>
  <c r="X18" i="11"/>
  <c r="Q18" i="11"/>
  <c r="N18" i="11"/>
  <c r="W18" i="11" s="1"/>
  <c r="AK18" i="11" s="1"/>
  <c r="J18" i="11"/>
  <c r="F18" i="11"/>
  <c r="AG17" i="11"/>
  <c r="AB17" i="11"/>
  <c r="X17" i="11"/>
  <c r="Q17" i="11"/>
  <c r="S17" i="11" s="1"/>
  <c r="O17" i="11"/>
  <c r="N17" i="11"/>
  <c r="J17" i="11"/>
  <c r="F17" i="11"/>
  <c r="G17" i="11" s="1"/>
  <c r="AB16" i="11"/>
  <c r="X16" i="11"/>
  <c r="S16" i="11"/>
  <c r="O16" i="11"/>
  <c r="N16" i="11"/>
  <c r="J16" i="11"/>
  <c r="F16" i="11"/>
  <c r="AB15" i="11"/>
  <c r="X15" i="11"/>
  <c r="S15" i="11"/>
  <c r="Q15" i="11"/>
  <c r="O15" i="11" s="1"/>
  <c r="P15" i="11"/>
  <c r="N15" i="11"/>
  <c r="W15" i="11" s="1"/>
  <c r="AK15" i="11" s="1"/>
  <c r="J15" i="11"/>
  <c r="F15" i="11"/>
  <c r="AB14" i="11"/>
  <c r="X14" i="11"/>
  <c r="W14" i="11"/>
  <c r="Q14" i="11"/>
  <c r="S14" i="11" s="1"/>
  <c r="O14" i="11"/>
  <c r="P14" i="11" s="1"/>
  <c r="N14" i="11"/>
  <c r="AF14" i="11" s="1"/>
  <c r="J14" i="11"/>
  <c r="F14" i="11"/>
  <c r="G14" i="11" s="1"/>
  <c r="AB13" i="11"/>
  <c r="X13" i="11"/>
  <c r="S13" i="11"/>
  <c r="Q13" i="11"/>
  <c r="O13" i="11"/>
  <c r="N13" i="11"/>
  <c r="J13" i="11"/>
  <c r="F13" i="11"/>
  <c r="AF12" i="11"/>
  <c r="AB12" i="11"/>
  <c r="X12" i="11"/>
  <c r="Q12" i="11"/>
  <c r="O12" i="11" s="1"/>
  <c r="N12" i="11"/>
  <c r="W12" i="11" s="1"/>
  <c r="J12" i="11"/>
  <c r="F12" i="11"/>
  <c r="AB11" i="11"/>
  <c r="X11" i="11"/>
  <c r="S11" i="11"/>
  <c r="Q11" i="11"/>
  <c r="O11" i="11" s="1"/>
  <c r="N11" i="11"/>
  <c r="J11" i="11"/>
  <c r="F11" i="11"/>
  <c r="AG10" i="11"/>
  <c r="AB10" i="11"/>
  <c r="X10" i="11"/>
  <c r="Q10" i="11"/>
  <c r="S10" i="11" s="1"/>
  <c r="O10" i="11"/>
  <c r="N10" i="11"/>
  <c r="J10" i="11"/>
  <c r="F10" i="11"/>
  <c r="AB9" i="11"/>
  <c r="X9" i="11"/>
  <c r="S9" i="11"/>
  <c r="Q9" i="11"/>
  <c r="O9" i="11"/>
  <c r="N9" i="11"/>
  <c r="J9" i="11"/>
  <c r="G9" i="11"/>
  <c r="F9" i="11"/>
  <c r="AB8" i="11"/>
  <c r="X8" i="11"/>
  <c r="S8" i="11"/>
  <c r="Q8" i="11"/>
  <c r="O8" i="11" s="1"/>
  <c r="P8" i="11" s="1"/>
  <c r="N8" i="11"/>
  <c r="W8" i="11" s="1"/>
  <c r="AK8" i="11" s="1"/>
  <c r="J8" i="11"/>
  <c r="F8" i="11"/>
  <c r="AB7" i="11"/>
  <c r="X7" i="11"/>
  <c r="Y7" i="11" s="1"/>
  <c r="S7" i="11"/>
  <c r="O7" i="11"/>
  <c r="P7" i="11" s="1"/>
  <c r="AB6" i="11"/>
  <c r="X6" i="11"/>
  <c r="Y6" i="11" s="1"/>
  <c r="B1" i="11"/>
  <c r="AI43" i="12"/>
  <c r="AD43" i="12"/>
  <c r="AI39" i="12"/>
  <c r="AD39" i="12"/>
  <c r="AG38" i="12"/>
  <c r="AB38" i="12"/>
  <c r="X38" i="12"/>
  <c r="AL38" i="12" s="1"/>
  <c r="S38" i="12"/>
  <c r="Q38" i="12"/>
  <c r="O38" i="12"/>
  <c r="N38" i="12"/>
  <c r="J38" i="12"/>
  <c r="G38" i="12"/>
  <c r="F38" i="12"/>
  <c r="AB37" i="12"/>
  <c r="X37" i="12"/>
  <c r="S37" i="12"/>
  <c r="Q37" i="12"/>
  <c r="O37" i="12" s="1"/>
  <c r="P37" i="12" s="1"/>
  <c r="N37" i="12"/>
  <c r="AF37" i="12" s="1"/>
  <c r="J37" i="12"/>
  <c r="F37" i="12"/>
  <c r="AB36" i="12"/>
  <c r="X36" i="12"/>
  <c r="Y36" i="12" s="1"/>
  <c r="W36" i="12"/>
  <c r="AK36" i="12" s="1"/>
  <c r="Q36" i="12"/>
  <c r="N36" i="12"/>
  <c r="AF36" i="12" s="1"/>
  <c r="J36" i="12"/>
  <c r="F36" i="12"/>
  <c r="AL35" i="12"/>
  <c r="AF35" i="12"/>
  <c r="AB35" i="12"/>
  <c r="X35" i="12"/>
  <c r="Q35" i="12"/>
  <c r="S35" i="12" s="1"/>
  <c r="O35" i="12"/>
  <c r="P35" i="12" s="1"/>
  <c r="N35" i="12"/>
  <c r="W35" i="12" s="1"/>
  <c r="J35" i="12"/>
  <c r="F35" i="12"/>
  <c r="G35" i="12" s="1"/>
  <c r="AB34" i="12"/>
  <c r="X34" i="12"/>
  <c r="S34" i="12"/>
  <c r="Q34" i="12"/>
  <c r="P34" i="12"/>
  <c r="O34" i="12"/>
  <c r="N34" i="12"/>
  <c r="W34" i="12" s="1"/>
  <c r="AK34" i="12" s="1"/>
  <c r="J34" i="12"/>
  <c r="F34" i="12"/>
  <c r="G34" i="12" s="1"/>
  <c r="AB33" i="12"/>
  <c r="X33" i="12"/>
  <c r="S33" i="12"/>
  <c r="O33" i="12"/>
  <c r="P33" i="12" s="1"/>
  <c r="N33" i="12"/>
  <c r="J33" i="12"/>
  <c r="F33" i="12"/>
  <c r="AB32" i="12"/>
  <c r="X32" i="12"/>
  <c r="Q32" i="12"/>
  <c r="S32" i="12" s="1"/>
  <c r="P32" i="12"/>
  <c r="O32" i="12"/>
  <c r="N32" i="12"/>
  <c r="AF32" i="12" s="1"/>
  <c r="J32" i="12"/>
  <c r="F32" i="12"/>
  <c r="G32" i="12" s="1"/>
  <c r="AB31" i="12"/>
  <c r="X31" i="12"/>
  <c r="S31" i="12"/>
  <c r="Q31" i="12"/>
  <c r="O31" i="12"/>
  <c r="N31" i="12"/>
  <c r="W31" i="12" s="1"/>
  <c r="AK31" i="12" s="1"/>
  <c r="J31" i="12"/>
  <c r="F31" i="12"/>
  <c r="G31" i="12" s="1"/>
  <c r="AB30" i="12"/>
  <c r="X30" i="12"/>
  <c r="S30" i="12"/>
  <c r="O30" i="12"/>
  <c r="N30" i="12"/>
  <c r="J30" i="12"/>
  <c r="F30" i="12"/>
  <c r="AL29" i="12"/>
  <c r="AB29" i="12"/>
  <c r="X29" i="12"/>
  <c r="W29" i="12"/>
  <c r="Q29" i="12"/>
  <c r="S29" i="12" s="1"/>
  <c r="P29" i="12"/>
  <c r="O29" i="12"/>
  <c r="N29" i="12"/>
  <c r="AF29" i="12" s="1"/>
  <c r="J29" i="12"/>
  <c r="F29" i="12"/>
  <c r="G29" i="12" s="1"/>
  <c r="AF28" i="12"/>
  <c r="AB28" i="12"/>
  <c r="X28" i="12"/>
  <c r="S28" i="12"/>
  <c r="Q28" i="12"/>
  <c r="O28" i="12"/>
  <c r="N28" i="12"/>
  <c r="J28" i="12"/>
  <c r="G28" i="12"/>
  <c r="F28" i="12"/>
  <c r="AB27" i="12"/>
  <c r="X27" i="12"/>
  <c r="Q27" i="12"/>
  <c r="N27" i="12"/>
  <c r="AF27" i="12" s="1"/>
  <c r="J27" i="12"/>
  <c r="F27" i="12"/>
  <c r="G27" i="12" s="1"/>
  <c r="AB26" i="12"/>
  <c r="X26" i="12"/>
  <c r="Q26" i="12"/>
  <c r="N26" i="12"/>
  <c r="AF26" i="12" s="1"/>
  <c r="J26" i="12"/>
  <c r="F26" i="12"/>
  <c r="G26" i="12" s="1"/>
  <c r="AL25" i="12"/>
  <c r="AB25" i="12"/>
  <c r="X25" i="12"/>
  <c r="S25" i="12"/>
  <c r="O25" i="12"/>
  <c r="N25" i="12"/>
  <c r="J25" i="12"/>
  <c r="G25" i="12"/>
  <c r="F25" i="12"/>
  <c r="AB24" i="12"/>
  <c r="X24" i="12"/>
  <c r="Y24" i="12" s="1"/>
  <c r="W24" i="12"/>
  <c r="AK24" i="12" s="1"/>
  <c r="Q24" i="12"/>
  <c r="S24" i="12" s="1"/>
  <c r="O24" i="12"/>
  <c r="N24" i="12"/>
  <c r="AF24" i="12" s="1"/>
  <c r="J24" i="12"/>
  <c r="F24" i="12"/>
  <c r="AL24" i="12" s="1"/>
  <c r="AB23" i="12"/>
  <c r="X23" i="12"/>
  <c r="S23" i="12"/>
  <c r="Q23" i="12"/>
  <c r="O23" i="12"/>
  <c r="N23" i="12"/>
  <c r="AF23" i="12" s="1"/>
  <c r="J23" i="12"/>
  <c r="F23" i="12"/>
  <c r="G23" i="12" s="1"/>
  <c r="AB22" i="12"/>
  <c r="X22" i="12"/>
  <c r="S22" i="12"/>
  <c r="Q22" i="12"/>
  <c r="O22" i="12"/>
  <c r="N22" i="12"/>
  <c r="AF22" i="12" s="1"/>
  <c r="J22" i="12"/>
  <c r="F22" i="12"/>
  <c r="AB21" i="12"/>
  <c r="X21" i="12"/>
  <c r="Y21" i="12" s="1"/>
  <c r="W21" i="12"/>
  <c r="AK21" i="12" s="1"/>
  <c r="Q21" i="12"/>
  <c r="N21" i="12"/>
  <c r="AF21" i="12" s="1"/>
  <c r="J21" i="12"/>
  <c r="F21" i="12"/>
  <c r="AL20" i="12"/>
  <c r="AB20" i="12"/>
  <c r="X20" i="12"/>
  <c r="W20" i="12"/>
  <c r="AK20" i="12" s="1"/>
  <c r="Q20" i="12"/>
  <c r="S20" i="12" s="1"/>
  <c r="N20" i="12"/>
  <c r="AF20" i="12" s="1"/>
  <c r="J20" i="12"/>
  <c r="F20" i="12"/>
  <c r="G20" i="12" s="1"/>
  <c r="AF19" i="12"/>
  <c r="AB19" i="12"/>
  <c r="X19" i="12"/>
  <c r="AL19" i="12" s="1"/>
  <c r="Q19" i="12"/>
  <c r="S19" i="12" s="1"/>
  <c r="O19" i="12"/>
  <c r="N19" i="12"/>
  <c r="W19" i="12" s="1"/>
  <c r="AK19" i="12" s="1"/>
  <c r="J19" i="12"/>
  <c r="F19" i="12"/>
  <c r="G19" i="12" s="1"/>
  <c r="AB18" i="12"/>
  <c r="X18" i="12"/>
  <c r="S18" i="12"/>
  <c r="Q18" i="12"/>
  <c r="O18" i="12" s="1"/>
  <c r="N18" i="12"/>
  <c r="J18" i="12"/>
  <c r="G18" i="12"/>
  <c r="F18" i="12"/>
  <c r="AB17" i="12"/>
  <c r="X17" i="12"/>
  <c r="W17" i="12"/>
  <c r="AK17" i="12" s="1"/>
  <c r="Q17" i="12"/>
  <c r="N17" i="12"/>
  <c r="AF17" i="12" s="1"/>
  <c r="J17" i="12"/>
  <c r="F17" i="12"/>
  <c r="AB16" i="12"/>
  <c r="X16" i="12"/>
  <c r="S16" i="12"/>
  <c r="O16" i="12"/>
  <c r="N16" i="12"/>
  <c r="J16" i="12"/>
  <c r="F16" i="12"/>
  <c r="AB15" i="12"/>
  <c r="X15" i="12"/>
  <c r="S15" i="12"/>
  <c r="Q15" i="12"/>
  <c r="O15" i="12" s="1"/>
  <c r="N15" i="12"/>
  <c r="J15" i="12"/>
  <c r="F15" i="12"/>
  <c r="AB14" i="12"/>
  <c r="X14" i="12"/>
  <c r="W14" i="12"/>
  <c r="AK14" i="12" s="1"/>
  <c r="Q14" i="12"/>
  <c r="N14" i="12"/>
  <c r="AF14" i="12" s="1"/>
  <c r="J14" i="12"/>
  <c r="F14" i="12"/>
  <c r="AB13" i="12"/>
  <c r="X13" i="12"/>
  <c r="Y13" i="12" s="1"/>
  <c r="W13" i="12"/>
  <c r="AK13" i="12" s="1"/>
  <c r="Q13" i="12"/>
  <c r="S13" i="12" s="1"/>
  <c r="O13" i="12"/>
  <c r="N13" i="12"/>
  <c r="AF13" i="12" s="1"/>
  <c r="J13" i="12"/>
  <c r="F13" i="12"/>
  <c r="AF12" i="12"/>
  <c r="AB12" i="12"/>
  <c r="X12" i="12"/>
  <c r="Y12" i="12" s="1"/>
  <c r="S12" i="12"/>
  <c r="Q12" i="12"/>
  <c r="O12" i="12"/>
  <c r="N12" i="12"/>
  <c r="W12" i="12" s="1"/>
  <c r="AK12" i="12" s="1"/>
  <c r="J12" i="12"/>
  <c r="F12" i="12"/>
  <c r="AB11" i="12"/>
  <c r="X11" i="12"/>
  <c r="W11" i="12"/>
  <c r="AK11" i="12" s="1"/>
  <c r="S11" i="12"/>
  <c r="Q11" i="12"/>
  <c r="O11" i="12"/>
  <c r="N11" i="12"/>
  <c r="AF11" i="12" s="1"/>
  <c r="J11" i="12"/>
  <c r="F11" i="12"/>
  <c r="AB10" i="12"/>
  <c r="X10" i="12"/>
  <c r="Q10" i="12"/>
  <c r="N10" i="12"/>
  <c r="J10" i="12"/>
  <c r="F10" i="12"/>
  <c r="AF9" i="12"/>
  <c r="AB9" i="12"/>
  <c r="X9" i="12"/>
  <c r="Q9" i="12"/>
  <c r="S9" i="12" s="1"/>
  <c r="N9" i="12"/>
  <c r="W9" i="12" s="1"/>
  <c r="AK9" i="12" s="1"/>
  <c r="J9" i="12"/>
  <c r="F9" i="12"/>
  <c r="G9" i="12" s="1"/>
  <c r="AF8" i="12"/>
  <c r="AB8" i="12"/>
  <c r="X8" i="12"/>
  <c r="Q8" i="12"/>
  <c r="S8" i="12" s="1"/>
  <c r="O8" i="12"/>
  <c r="N8" i="12"/>
  <c r="J8" i="12"/>
  <c r="F8" i="12"/>
  <c r="G8" i="12" s="1"/>
  <c r="AB7" i="12"/>
  <c r="X7" i="12"/>
  <c r="Y7" i="12" s="1"/>
  <c r="S7" i="12"/>
  <c r="O7" i="12"/>
  <c r="P7" i="12" s="1"/>
  <c r="AB6" i="12"/>
  <c r="X6" i="12"/>
  <c r="Y6" i="12" s="1"/>
  <c r="B1" i="12"/>
  <c r="C3" i="12" s="1"/>
  <c r="AI43" i="13"/>
  <c r="AD43" i="13"/>
  <c r="AI39" i="13"/>
  <c r="AD39" i="13"/>
  <c r="AF38" i="13"/>
  <c r="AB38" i="13"/>
  <c r="X38" i="13"/>
  <c r="Q38" i="13"/>
  <c r="S38" i="13" s="1"/>
  <c r="N38" i="13"/>
  <c r="W38" i="13" s="1"/>
  <c r="AK38" i="13" s="1"/>
  <c r="J38" i="13"/>
  <c r="F38" i="13"/>
  <c r="G38" i="13" s="1"/>
  <c r="AB37" i="13"/>
  <c r="X37" i="13"/>
  <c r="Q37" i="13"/>
  <c r="S37" i="13" s="1"/>
  <c r="O37" i="13"/>
  <c r="N37" i="13"/>
  <c r="J37" i="13"/>
  <c r="F37" i="13"/>
  <c r="AB36" i="13"/>
  <c r="X36" i="13"/>
  <c r="S36" i="13"/>
  <c r="Q36" i="13"/>
  <c r="O36" i="13" s="1"/>
  <c r="P36" i="13" s="1"/>
  <c r="N36" i="13"/>
  <c r="J36" i="13"/>
  <c r="F36" i="13"/>
  <c r="AB35" i="13"/>
  <c r="X35" i="13"/>
  <c r="Q35" i="13"/>
  <c r="N35" i="13"/>
  <c r="J35" i="13"/>
  <c r="F35" i="13"/>
  <c r="AB34" i="13"/>
  <c r="X34" i="13"/>
  <c r="Q34" i="13"/>
  <c r="S34" i="13" s="1"/>
  <c r="P34" i="13"/>
  <c r="O34" i="13"/>
  <c r="N34" i="13"/>
  <c r="AF34" i="13" s="1"/>
  <c r="J34" i="13"/>
  <c r="F34" i="13"/>
  <c r="G34" i="13" s="1"/>
  <c r="AF33" i="13"/>
  <c r="AB33" i="13"/>
  <c r="X33" i="13"/>
  <c r="S33" i="13"/>
  <c r="O33" i="13"/>
  <c r="N33" i="13"/>
  <c r="W33" i="13" s="1"/>
  <c r="J33" i="13"/>
  <c r="F33" i="13"/>
  <c r="G33" i="13" s="1"/>
  <c r="AB32" i="13"/>
  <c r="X32" i="13"/>
  <c r="W32" i="13"/>
  <c r="AK32" i="13" s="1"/>
  <c r="Q32" i="13"/>
  <c r="N32" i="13"/>
  <c r="AF32" i="13" s="1"/>
  <c r="J32" i="13"/>
  <c r="F32" i="13"/>
  <c r="AB31" i="13"/>
  <c r="X31" i="13"/>
  <c r="Q31" i="13"/>
  <c r="S31" i="13" s="1"/>
  <c r="O31" i="13"/>
  <c r="P31" i="13" s="1"/>
  <c r="N31" i="13"/>
  <c r="AF31" i="13" s="1"/>
  <c r="J31" i="13"/>
  <c r="F31" i="13"/>
  <c r="G31" i="13" s="1"/>
  <c r="AB30" i="13"/>
  <c r="X30" i="13"/>
  <c r="S30" i="13"/>
  <c r="O30" i="13"/>
  <c r="N30" i="13"/>
  <c r="J30" i="13"/>
  <c r="F30" i="13"/>
  <c r="AL30" i="13" s="1"/>
  <c r="AB29" i="13"/>
  <c r="X29" i="13"/>
  <c r="Q29" i="13"/>
  <c r="N29" i="13"/>
  <c r="AF29" i="13" s="1"/>
  <c r="J29" i="13"/>
  <c r="F29" i="13"/>
  <c r="AB28" i="13"/>
  <c r="X28" i="13"/>
  <c r="Q28" i="13"/>
  <c r="S28" i="13" s="1"/>
  <c r="O28" i="13"/>
  <c r="N28" i="13"/>
  <c r="J28" i="13"/>
  <c r="F28" i="13"/>
  <c r="G28" i="13" s="1"/>
  <c r="AL27" i="13"/>
  <c r="AB27" i="13"/>
  <c r="X27" i="13"/>
  <c r="S27" i="13"/>
  <c r="Q27" i="13"/>
  <c r="O27" i="13"/>
  <c r="N27" i="13"/>
  <c r="J27" i="13"/>
  <c r="G27" i="13"/>
  <c r="F27" i="13"/>
  <c r="AG27" i="13" s="1"/>
  <c r="AB26" i="13"/>
  <c r="X26" i="13"/>
  <c r="AL26" i="13" s="1"/>
  <c r="S26" i="13"/>
  <c r="Q26" i="13"/>
  <c r="O26" i="13"/>
  <c r="N26" i="13"/>
  <c r="AF26" i="13" s="1"/>
  <c r="J26" i="13"/>
  <c r="F26" i="13"/>
  <c r="AF25" i="13"/>
  <c r="AB25" i="13"/>
  <c r="X25" i="13"/>
  <c r="W25" i="13"/>
  <c r="AK25" i="13" s="1"/>
  <c r="S25" i="13"/>
  <c r="O25" i="13"/>
  <c r="P25" i="13" s="1"/>
  <c r="N25" i="13"/>
  <c r="J25" i="13"/>
  <c r="F25" i="13"/>
  <c r="AL25" i="13" s="1"/>
  <c r="AG24" i="13"/>
  <c r="AB24" i="13"/>
  <c r="X24" i="13"/>
  <c r="W24" i="13"/>
  <c r="AK24" i="13" s="1"/>
  <c r="S24" i="13"/>
  <c r="Q24" i="13"/>
  <c r="O24" i="13"/>
  <c r="P24" i="13" s="1"/>
  <c r="N24" i="13"/>
  <c r="AF24" i="13" s="1"/>
  <c r="J24" i="13"/>
  <c r="F24" i="13"/>
  <c r="G24" i="13" s="1"/>
  <c r="AB23" i="13"/>
  <c r="X23" i="13"/>
  <c r="S23" i="13"/>
  <c r="Q23" i="13"/>
  <c r="O23" i="13"/>
  <c r="P23" i="13" s="1"/>
  <c r="N23" i="13"/>
  <c r="AF23" i="13" s="1"/>
  <c r="J23" i="13"/>
  <c r="G23" i="13"/>
  <c r="F23" i="13"/>
  <c r="AB22" i="13"/>
  <c r="X22" i="13"/>
  <c r="W22" i="13"/>
  <c r="AK22" i="13" s="1"/>
  <c r="S22" i="13"/>
  <c r="Q22" i="13"/>
  <c r="O22" i="13" s="1"/>
  <c r="N22" i="13"/>
  <c r="AF22" i="13" s="1"/>
  <c r="J22" i="13"/>
  <c r="F22" i="13"/>
  <c r="AF21" i="13"/>
  <c r="AB21" i="13"/>
  <c r="X21" i="13"/>
  <c r="W21" i="13"/>
  <c r="AK21" i="13" s="1"/>
  <c r="Q21" i="13"/>
  <c r="S21" i="13" s="1"/>
  <c r="N21" i="13"/>
  <c r="J21" i="13"/>
  <c r="F21" i="13"/>
  <c r="G21" i="13" s="1"/>
  <c r="AF20" i="13"/>
  <c r="AB20" i="13"/>
  <c r="X20" i="13"/>
  <c r="Q20" i="13"/>
  <c r="S20" i="13" s="1"/>
  <c r="O20" i="13"/>
  <c r="N20" i="13"/>
  <c r="W20" i="13" s="1"/>
  <c r="AK20" i="13" s="1"/>
  <c r="J20" i="13"/>
  <c r="F20" i="13"/>
  <c r="AB19" i="13"/>
  <c r="X19" i="13"/>
  <c r="Q19" i="13"/>
  <c r="O19" i="13" s="1"/>
  <c r="N19" i="13"/>
  <c r="W19" i="13" s="1"/>
  <c r="AK19" i="13" s="1"/>
  <c r="J19" i="13"/>
  <c r="F19" i="13"/>
  <c r="G19" i="13" s="1"/>
  <c r="AB18" i="13"/>
  <c r="Y18" i="13"/>
  <c r="X18" i="13"/>
  <c r="W18" i="13"/>
  <c r="AK18" i="13" s="1"/>
  <c r="Q18" i="13"/>
  <c r="S18" i="13" s="1"/>
  <c r="O18" i="13"/>
  <c r="N18" i="13"/>
  <c r="AF18" i="13" s="1"/>
  <c r="J18" i="13"/>
  <c r="F18" i="13"/>
  <c r="AG18" i="13" s="1"/>
  <c r="AB17" i="13"/>
  <c r="X17" i="13"/>
  <c r="S17" i="13"/>
  <c r="Q17" i="13"/>
  <c r="O17" i="13"/>
  <c r="N17" i="13"/>
  <c r="J17" i="13"/>
  <c r="G17" i="13"/>
  <c r="F17" i="13"/>
  <c r="AG17" i="13" s="1"/>
  <c r="AF16" i="13"/>
  <c r="AB16" i="13"/>
  <c r="X16" i="13"/>
  <c r="W16" i="13"/>
  <c r="AK16" i="13" s="1"/>
  <c r="S16" i="13"/>
  <c r="O16" i="13"/>
  <c r="P16" i="13" s="1"/>
  <c r="N16" i="13"/>
  <c r="J16" i="13"/>
  <c r="F16" i="13"/>
  <c r="AB15" i="13"/>
  <c r="X15" i="13"/>
  <c r="S15" i="13"/>
  <c r="Q15" i="13"/>
  <c r="O15" i="13"/>
  <c r="P15" i="13" s="1"/>
  <c r="N15" i="13"/>
  <c r="W15" i="13" s="1"/>
  <c r="AK15" i="13" s="1"/>
  <c r="J15" i="13"/>
  <c r="G15" i="13"/>
  <c r="F15" i="13"/>
  <c r="AL15" i="13" s="1"/>
  <c r="AB14" i="13"/>
  <c r="X14" i="13"/>
  <c r="S14" i="13"/>
  <c r="Q14" i="13"/>
  <c r="O14" i="13"/>
  <c r="N14" i="13"/>
  <c r="J14" i="13"/>
  <c r="F14" i="13"/>
  <c r="AB13" i="13"/>
  <c r="X13" i="13"/>
  <c r="Q13" i="13"/>
  <c r="N13" i="13"/>
  <c r="W13" i="13" s="1"/>
  <c r="AK13" i="13" s="1"/>
  <c r="J13" i="13"/>
  <c r="F13" i="13"/>
  <c r="AL13" i="13" s="1"/>
  <c r="AB12" i="13"/>
  <c r="X12" i="13"/>
  <c r="Q12" i="13"/>
  <c r="S12" i="13" s="1"/>
  <c r="N12" i="13"/>
  <c r="W12" i="13" s="1"/>
  <c r="AK12" i="13" s="1"/>
  <c r="J12" i="13"/>
  <c r="F12" i="13"/>
  <c r="G12" i="13" s="1"/>
  <c r="AB11" i="13"/>
  <c r="X11" i="13"/>
  <c r="Q11" i="13"/>
  <c r="S11" i="13" s="1"/>
  <c r="O11" i="13"/>
  <c r="N11" i="13"/>
  <c r="J11" i="13"/>
  <c r="F11" i="13"/>
  <c r="G11" i="13" s="1"/>
  <c r="AB10" i="13"/>
  <c r="X10" i="13"/>
  <c r="Q10" i="13"/>
  <c r="O10" i="13" s="1"/>
  <c r="N10" i="13"/>
  <c r="J10" i="13"/>
  <c r="F10" i="13"/>
  <c r="G10" i="13" s="1"/>
  <c r="AG9" i="13"/>
  <c r="AB9" i="13"/>
  <c r="X9" i="13"/>
  <c r="S9" i="13"/>
  <c r="Q9" i="13"/>
  <c r="O9" i="13"/>
  <c r="N9" i="13"/>
  <c r="J9" i="13"/>
  <c r="G9" i="13"/>
  <c r="F9" i="13"/>
  <c r="AL9" i="13" s="1"/>
  <c r="AK8" i="13"/>
  <c r="AB8" i="13"/>
  <c r="X8" i="13"/>
  <c r="Y8" i="13" s="1"/>
  <c r="Q8" i="13"/>
  <c r="S8" i="13" s="1"/>
  <c r="O8" i="13"/>
  <c r="P8" i="13" s="1"/>
  <c r="N8" i="13"/>
  <c r="W8" i="13" s="1"/>
  <c r="J8" i="13"/>
  <c r="F8" i="13"/>
  <c r="AG8" i="13" s="1"/>
  <c r="AB7" i="13"/>
  <c r="X7" i="13"/>
  <c r="Y7" i="13" s="1"/>
  <c r="S7" i="13"/>
  <c r="O7" i="13"/>
  <c r="P7" i="13" s="1"/>
  <c r="AB6" i="13"/>
  <c r="X6" i="13"/>
  <c r="Y6" i="13" s="1"/>
  <c r="B1" i="13"/>
  <c r="AI43" i="14"/>
  <c r="AD43" i="14"/>
  <c r="AI39" i="14"/>
  <c r="AD39" i="14"/>
  <c r="AG38" i="14"/>
  <c r="AB38" i="14"/>
  <c r="X38" i="14"/>
  <c r="W38" i="14"/>
  <c r="AK38" i="14" s="1"/>
  <c r="S38" i="14"/>
  <c r="Q38" i="14"/>
  <c r="O38" i="14"/>
  <c r="P38" i="14" s="1"/>
  <c r="N38" i="14"/>
  <c r="AF38" i="14" s="1"/>
  <c r="J38" i="14"/>
  <c r="G38" i="14"/>
  <c r="F38" i="14"/>
  <c r="AL38" i="14" s="1"/>
  <c r="AL37" i="14"/>
  <c r="AB37" i="14"/>
  <c r="X37" i="14"/>
  <c r="W37" i="14"/>
  <c r="Q37" i="14"/>
  <c r="S37" i="14" s="1"/>
  <c r="O37" i="14"/>
  <c r="P37" i="14" s="1"/>
  <c r="N37" i="14"/>
  <c r="AF37" i="14" s="1"/>
  <c r="J37" i="14"/>
  <c r="F37" i="14"/>
  <c r="AB36" i="14"/>
  <c r="X36" i="14"/>
  <c r="S36" i="14"/>
  <c r="Q36" i="14"/>
  <c r="O36" i="14"/>
  <c r="P36" i="14" s="1"/>
  <c r="N36" i="14"/>
  <c r="AF36" i="14" s="1"/>
  <c r="J36" i="14"/>
  <c r="G36" i="14"/>
  <c r="F36" i="14"/>
  <c r="AL36" i="14" s="1"/>
  <c r="AB35" i="14"/>
  <c r="X35" i="14"/>
  <c r="S35" i="14"/>
  <c r="Q35" i="14"/>
  <c r="O35" i="14"/>
  <c r="P35" i="14" s="1"/>
  <c r="N35" i="14"/>
  <c r="AF35" i="14" s="1"/>
  <c r="J35" i="14"/>
  <c r="F35" i="14"/>
  <c r="AB34" i="14"/>
  <c r="X34" i="14"/>
  <c r="Q34" i="14"/>
  <c r="N34" i="14"/>
  <c r="W34" i="14" s="1"/>
  <c r="AK34" i="14" s="1"/>
  <c r="J34" i="14"/>
  <c r="F34" i="14"/>
  <c r="AF33" i="14"/>
  <c r="AB33" i="14"/>
  <c r="X33" i="14"/>
  <c r="W33" i="14"/>
  <c r="AK33" i="14" s="1"/>
  <c r="S33" i="14"/>
  <c r="O33" i="14"/>
  <c r="N33" i="14"/>
  <c r="J33" i="14"/>
  <c r="G33" i="14"/>
  <c r="F33" i="14"/>
  <c r="AB32" i="14"/>
  <c r="X32" i="14"/>
  <c r="S32" i="14"/>
  <c r="Q32" i="14"/>
  <c r="O32" i="14"/>
  <c r="P32" i="14" s="1"/>
  <c r="N32" i="14"/>
  <c r="AF32" i="14" s="1"/>
  <c r="J32" i="14"/>
  <c r="G32" i="14"/>
  <c r="F32" i="14"/>
  <c r="AB31" i="14"/>
  <c r="X31" i="14"/>
  <c r="Q31" i="14"/>
  <c r="N31" i="14"/>
  <c r="W31" i="14" s="1"/>
  <c r="AK31" i="14" s="1"/>
  <c r="J31" i="14"/>
  <c r="F31" i="14"/>
  <c r="AG30" i="14"/>
  <c r="AB30" i="14"/>
  <c r="X30" i="14"/>
  <c r="AL30" i="14" s="1"/>
  <c r="S30" i="14"/>
  <c r="O30" i="14"/>
  <c r="P30" i="14" s="1"/>
  <c r="N30" i="14"/>
  <c r="J30" i="14"/>
  <c r="F30" i="14"/>
  <c r="G30" i="14" s="1"/>
  <c r="AB29" i="14"/>
  <c r="X29" i="14"/>
  <c r="S29" i="14"/>
  <c r="Q29" i="14"/>
  <c r="O29" i="14"/>
  <c r="P29" i="14" s="1"/>
  <c r="N29" i="14"/>
  <c r="AF29" i="14" s="1"/>
  <c r="J29" i="14"/>
  <c r="F29" i="14"/>
  <c r="AB28" i="14"/>
  <c r="X28" i="14"/>
  <c r="Q28" i="14"/>
  <c r="N28" i="14"/>
  <c r="W28" i="14" s="1"/>
  <c r="AK28" i="14" s="1"/>
  <c r="J28" i="14"/>
  <c r="F28" i="14"/>
  <c r="AB27" i="14"/>
  <c r="X27" i="14"/>
  <c r="Q27" i="14"/>
  <c r="S27" i="14" s="1"/>
  <c r="N27" i="14"/>
  <c r="J27" i="14"/>
  <c r="F27" i="14"/>
  <c r="G27" i="14" s="1"/>
  <c r="AB26" i="14"/>
  <c r="X26" i="14"/>
  <c r="Q26" i="14"/>
  <c r="S26" i="14" s="1"/>
  <c r="O26" i="14"/>
  <c r="N26" i="14"/>
  <c r="J26" i="14"/>
  <c r="F26" i="14"/>
  <c r="G26" i="14" s="1"/>
  <c r="AB25" i="14"/>
  <c r="X25" i="14"/>
  <c r="S25" i="14"/>
  <c r="P25" i="14"/>
  <c r="O25" i="14"/>
  <c r="N25" i="14"/>
  <c r="W25" i="14" s="1"/>
  <c r="J25" i="14"/>
  <c r="F25" i="14"/>
  <c r="AB24" i="14"/>
  <c r="X24" i="14"/>
  <c r="Q24" i="14"/>
  <c r="S24" i="14" s="1"/>
  <c r="N24" i="14"/>
  <c r="W24" i="14" s="1"/>
  <c r="AK24" i="14" s="1"/>
  <c r="J24" i="14"/>
  <c r="F24" i="14"/>
  <c r="G24" i="14" s="1"/>
  <c r="AB23" i="14"/>
  <c r="X23" i="14"/>
  <c r="Q23" i="14"/>
  <c r="S23" i="14" s="1"/>
  <c r="O23" i="14"/>
  <c r="N23" i="14"/>
  <c r="J23" i="14"/>
  <c r="F23" i="14"/>
  <c r="G23" i="14" s="1"/>
  <c r="AF22" i="14"/>
  <c r="AB22" i="14"/>
  <c r="X22" i="14"/>
  <c r="S22" i="14"/>
  <c r="Q22" i="14"/>
  <c r="O22" i="14" s="1"/>
  <c r="N22" i="14"/>
  <c r="W22" i="14" s="1"/>
  <c r="J22" i="14"/>
  <c r="F22" i="14"/>
  <c r="AG21" i="14"/>
  <c r="AB21" i="14"/>
  <c r="X21" i="14"/>
  <c r="W21" i="14"/>
  <c r="AK21" i="14" s="1"/>
  <c r="S21" i="14"/>
  <c r="Q21" i="14"/>
  <c r="O21" i="14"/>
  <c r="P21" i="14" s="1"/>
  <c r="N21" i="14"/>
  <c r="AF21" i="14" s="1"/>
  <c r="J21" i="14"/>
  <c r="F21" i="14"/>
  <c r="AL21" i="14" s="1"/>
  <c r="AB20" i="14"/>
  <c r="X20" i="14"/>
  <c r="Q20" i="14"/>
  <c r="S20" i="14" s="1"/>
  <c r="O20" i="14"/>
  <c r="N20" i="14"/>
  <c r="J20" i="14"/>
  <c r="F20" i="14"/>
  <c r="AL20" i="14" s="1"/>
  <c r="AB19" i="14"/>
  <c r="X19" i="14"/>
  <c r="S19" i="14"/>
  <c r="Q19" i="14"/>
  <c r="O19" i="14"/>
  <c r="N19" i="14"/>
  <c r="J19" i="14"/>
  <c r="F19" i="14"/>
  <c r="AB18" i="14"/>
  <c r="X18" i="14"/>
  <c r="S18" i="14"/>
  <c r="Q18" i="14"/>
  <c r="O18" i="14"/>
  <c r="N18" i="14"/>
  <c r="AF18" i="14" s="1"/>
  <c r="J18" i="14"/>
  <c r="F18" i="14"/>
  <c r="AB17" i="14"/>
  <c r="X17" i="14"/>
  <c r="Q17" i="14"/>
  <c r="N17" i="14"/>
  <c r="W17" i="14" s="1"/>
  <c r="AK17" i="14" s="1"/>
  <c r="J17" i="14"/>
  <c r="F17" i="14"/>
  <c r="AF16" i="14"/>
  <c r="AB16" i="14"/>
  <c r="X16" i="14"/>
  <c r="W16" i="14"/>
  <c r="AK16" i="14" s="1"/>
  <c r="S16" i="14"/>
  <c r="O16" i="14"/>
  <c r="P16" i="14" s="1"/>
  <c r="N16" i="14"/>
  <c r="J16" i="14"/>
  <c r="F16" i="14"/>
  <c r="G16" i="14" s="1"/>
  <c r="AB15" i="14"/>
  <c r="X15" i="14"/>
  <c r="S15" i="14"/>
  <c r="Q15" i="14"/>
  <c r="O15" i="14"/>
  <c r="P15" i="14" s="1"/>
  <c r="N15" i="14"/>
  <c r="AF15" i="14" s="1"/>
  <c r="J15" i="14"/>
  <c r="G15" i="14"/>
  <c r="F15" i="14"/>
  <c r="AB14" i="14"/>
  <c r="X14" i="14"/>
  <c r="Q14" i="14"/>
  <c r="N14" i="14"/>
  <c r="W14" i="14" s="1"/>
  <c r="AK14" i="14" s="1"/>
  <c r="J14" i="14"/>
  <c r="F14" i="14"/>
  <c r="AF13" i="14"/>
  <c r="AB13" i="14"/>
  <c r="X13" i="14"/>
  <c r="Q13" i="14"/>
  <c r="N13" i="14"/>
  <c r="W13" i="14" s="1"/>
  <c r="AK13" i="14" s="1"/>
  <c r="J13" i="14"/>
  <c r="F13" i="14"/>
  <c r="AB12" i="14"/>
  <c r="X12" i="14"/>
  <c r="Q12" i="14"/>
  <c r="S12" i="14" s="1"/>
  <c r="O12" i="14"/>
  <c r="N12" i="14"/>
  <c r="J12" i="14"/>
  <c r="F12" i="14"/>
  <c r="G12" i="14" s="1"/>
  <c r="AB11" i="14"/>
  <c r="X11" i="14"/>
  <c r="Q11" i="14"/>
  <c r="N11" i="14"/>
  <c r="W11" i="14" s="1"/>
  <c r="J11" i="14"/>
  <c r="F11" i="14"/>
  <c r="AB10" i="14"/>
  <c r="X10" i="14"/>
  <c r="W10" i="14"/>
  <c r="AK10" i="14" s="1"/>
  <c r="S10" i="14"/>
  <c r="Q10" i="14"/>
  <c r="O10" i="14"/>
  <c r="AG10" i="14" s="1"/>
  <c r="N10" i="14"/>
  <c r="AF10" i="14" s="1"/>
  <c r="J10" i="14"/>
  <c r="F10" i="14"/>
  <c r="AL10" i="14" s="1"/>
  <c r="AL9" i="14"/>
  <c r="AB9" i="14"/>
  <c r="X9" i="14"/>
  <c r="Q9" i="14"/>
  <c r="S9" i="14" s="1"/>
  <c r="O9" i="14"/>
  <c r="N9" i="14"/>
  <c r="J9" i="14"/>
  <c r="F9" i="14"/>
  <c r="AB8" i="14"/>
  <c r="X8" i="14"/>
  <c r="S8" i="14"/>
  <c r="Q8" i="14"/>
  <c r="P8" i="14"/>
  <c r="O8" i="14"/>
  <c r="N8" i="14"/>
  <c r="AF8" i="14" s="1"/>
  <c r="J8" i="14"/>
  <c r="F8" i="14"/>
  <c r="AB7" i="14"/>
  <c r="X7" i="14"/>
  <c r="Y7" i="14" s="1"/>
  <c r="S7" i="14"/>
  <c r="O7" i="14"/>
  <c r="P7" i="14" s="1"/>
  <c r="AB6" i="14"/>
  <c r="X6" i="14"/>
  <c r="Y6" i="14" s="1"/>
  <c r="B1" i="14"/>
  <c r="AI43" i="15"/>
  <c r="AD43" i="15"/>
  <c r="AI39" i="15"/>
  <c r="AD39" i="15"/>
  <c r="AB38" i="15"/>
  <c r="X38" i="15"/>
  <c r="S38" i="15"/>
  <c r="Q38" i="15"/>
  <c r="O38" i="15"/>
  <c r="N38" i="15"/>
  <c r="J38" i="15"/>
  <c r="F38" i="15"/>
  <c r="G38" i="15" s="1"/>
  <c r="AF37" i="15"/>
  <c r="AB37" i="15"/>
  <c r="X37" i="15"/>
  <c r="AL37" i="15" s="1"/>
  <c r="S37" i="15"/>
  <c r="Q37" i="15"/>
  <c r="O37" i="15"/>
  <c r="P37" i="15" s="1"/>
  <c r="N37" i="15"/>
  <c r="W37" i="15" s="1"/>
  <c r="J37" i="15"/>
  <c r="G37" i="15"/>
  <c r="F37" i="15"/>
  <c r="AB36" i="15"/>
  <c r="X36" i="15"/>
  <c r="S36" i="15"/>
  <c r="Q36" i="15"/>
  <c r="O36" i="15"/>
  <c r="N36" i="15"/>
  <c r="J36" i="15"/>
  <c r="F36" i="15"/>
  <c r="G36" i="15" s="1"/>
  <c r="AF35" i="15"/>
  <c r="AB35" i="15"/>
  <c r="X35" i="15"/>
  <c r="Y35" i="15" s="1"/>
  <c r="Q35" i="15"/>
  <c r="O35" i="15" s="1"/>
  <c r="N35" i="15"/>
  <c r="W35" i="15" s="1"/>
  <c r="AK35" i="15" s="1"/>
  <c r="J35" i="15"/>
  <c r="F35" i="15"/>
  <c r="AG35" i="15" s="1"/>
  <c r="AF34" i="15"/>
  <c r="AB34" i="15"/>
  <c r="X34" i="15"/>
  <c r="Q34" i="15"/>
  <c r="N34" i="15"/>
  <c r="W34" i="15" s="1"/>
  <c r="AK34" i="15" s="1"/>
  <c r="J34" i="15"/>
  <c r="F34" i="15"/>
  <c r="G34" i="15" s="1"/>
  <c r="AL33" i="15"/>
  <c r="AK33" i="15"/>
  <c r="AB33" i="15"/>
  <c r="X33" i="15"/>
  <c r="S33" i="15"/>
  <c r="O33" i="15"/>
  <c r="AG33" i="15" s="1"/>
  <c r="N33" i="15"/>
  <c r="W33" i="15" s="1"/>
  <c r="J33" i="15"/>
  <c r="G33" i="15"/>
  <c r="F33" i="15"/>
  <c r="AF32" i="15"/>
  <c r="AB32" i="15"/>
  <c r="X32" i="15"/>
  <c r="S32" i="15"/>
  <c r="Q32" i="15"/>
  <c r="O32" i="15"/>
  <c r="N32" i="15"/>
  <c r="W32" i="15" s="1"/>
  <c r="J32" i="15"/>
  <c r="G32" i="15"/>
  <c r="F32" i="15"/>
  <c r="AL32" i="15" s="1"/>
  <c r="AB31" i="15"/>
  <c r="X31" i="15"/>
  <c r="W31" i="15"/>
  <c r="Y31" i="15" s="1"/>
  <c r="S31" i="15"/>
  <c r="Q31" i="15"/>
  <c r="O31" i="15"/>
  <c r="P31" i="15" s="1"/>
  <c r="N31" i="15"/>
  <c r="AF31" i="15" s="1"/>
  <c r="J31" i="15"/>
  <c r="G31" i="15"/>
  <c r="F31" i="15"/>
  <c r="AB30" i="15"/>
  <c r="X30" i="15"/>
  <c r="S30" i="15"/>
  <c r="O30" i="15"/>
  <c r="N30" i="15"/>
  <c r="AF30" i="15" s="1"/>
  <c r="J30" i="15"/>
  <c r="F30" i="15"/>
  <c r="AB29" i="15"/>
  <c r="X29" i="15"/>
  <c r="S29" i="15"/>
  <c r="Q29" i="15"/>
  <c r="O29" i="15"/>
  <c r="N29" i="15"/>
  <c r="W29" i="15" s="1"/>
  <c r="J29" i="15"/>
  <c r="F29" i="15"/>
  <c r="AB28" i="15"/>
  <c r="X28" i="15"/>
  <c r="Y28" i="15" s="1"/>
  <c r="W28" i="15"/>
  <c r="AK28" i="15" s="1"/>
  <c r="S28" i="15"/>
  <c r="Q28" i="15"/>
  <c r="O28" i="15"/>
  <c r="P28" i="15" s="1"/>
  <c r="N28" i="15"/>
  <c r="AF28" i="15" s="1"/>
  <c r="J28" i="15"/>
  <c r="F28" i="15"/>
  <c r="G28" i="15" s="1"/>
  <c r="AB27" i="15"/>
  <c r="X27" i="15"/>
  <c r="W27" i="15"/>
  <c r="AK27" i="15" s="1"/>
  <c r="S27" i="15"/>
  <c r="Q27" i="15"/>
  <c r="O27" i="15"/>
  <c r="P27" i="15" s="1"/>
  <c r="N27" i="15"/>
  <c r="AF27" i="15" s="1"/>
  <c r="J27" i="15"/>
  <c r="F27" i="15"/>
  <c r="AF26" i="15"/>
  <c r="AB26" i="15"/>
  <c r="X26" i="15"/>
  <c r="Q26" i="15"/>
  <c r="S26" i="15" s="1"/>
  <c r="N26" i="15"/>
  <c r="W26" i="15" s="1"/>
  <c r="AK26" i="15" s="1"/>
  <c r="J26" i="15"/>
  <c r="F26" i="15"/>
  <c r="G26" i="15" s="1"/>
  <c r="AL25" i="15"/>
  <c r="AB25" i="15"/>
  <c r="X25" i="15"/>
  <c r="S25" i="15"/>
  <c r="O25" i="15"/>
  <c r="N25" i="15"/>
  <c r="J25" i="15"/>
  <c r="G25" i="15"/>
  <c r="F25" i="15"/>
  <c r="AB24" i="15"/>
  <c r="X24" i="15"/>
  <c r="W24" i="15"/>
  <c r="AK24" i="15" s="1"/>
  <c r="S24" i="15"/>
  <c r="Q24" i="15"/>
  <c r="P24" i="15"/>
  <c r="O24" i="15"/>
  <c r="N24" i="15"/>
  <c r="AF24" i="15" s="1"/>
  <c r="J24" i="15"/>
  <c r="F24" i="15"/>
  <c r="AG24" i="15" s="1"/>
  <c r="AB23" i="15"/>
  <c r="X23" i="15"/>
  <c r="Q23" i="15"/>
  <c r="S23" i="15" s="1"/>
  <c r="N23" i="15"/>
  <c r="W23" i="15" s="1"/>
  <c r="AK23" i="15" s="1"/>
  <c r="J23" i="15"/>
  <c r="F23" i="15"/>
  <c r="AB22" i="15"/>
  <c r="X22" i="15"/>
  <c r="AL22" i="15" s="1"/>
  <c r="Q22" i="15"/>
  <c r="S22" i="15" s="1"/>
  <c r="N22" i="15"/>
  <c r="J22" i="15"/>
  <c r="F22" i="15"/>
  <c r="AF21" i="15"/>
  <c r="AB21" i="15"/>
  <c r="X21" i="15"/>
  <c r="Q21" i="15"/>
  <c r="N21" i="15"/>
  <c r="W21" i="15" s="1"/>
  <c r="AK21" i="15" s="1"/>
  <c r="J21" i="15"/>
  <c r="F21" i="15"/>
  <c r="AB20" i="15"/>
  <c r="X20" i="15"/>
  <c r="Q20" i="15"/>
  <c r="S20" i="15" s="1"/>
  <c r="N20" i="15"/>
  <c r="J20" i="15"/>
  <c r="F20" i="15"/>
  <c r="G20" i="15" s="1"/>
  <c r="AB19" i="15"/>
  <c r="X19" i="15"/>
  <c r="Q19" i="15"/>
  <c r="S19" i="15" s="1"/>
  <c r="N19" i="15"/>
  <c r="W19" i="15" s="1"/>
  <c r="J19" i="15"/>
  <c r="F19" i="15"/>
  <c r="AB18" i="15"/>
  <c r="X18" i="15"/>
  <c r="S18" i="15"/>
  <c r="Q18" i="15"/>
  <c r="O18" i="15"/>
  <c r="P18" i="15" s="1"/>
  <c r="N18" i="15"/>
  <c r="W18" i="15" s="1"/>
  <c r="J18" i="15"/>
  <c r="G18" i="15"/>
  <c r="F18" i="15"/>
  <c r="AL18" i="15" s="1"/>
  <c r="AB17" i="15"/>
  <c r="X17" i="15"/>
  <c r="W17" i="15"/>
  <c r="S17" i="15"/>
  <c r="Q17" i="15"/>
  <c r="O17" i="15"/>
  <c r="N17" i="15"/>
  <c r="AF17" i="15" s="1"/>
  <c r="J17" i="15"/>
  <c r="F17" i="15"/>
  <c r="G17" i="15" s="1"/>
  <c r="AB16" i="15"/>
  <c r="X16" i="15"/>
  <c r="W16" i="15"/>
  <c r="AK16" i="15" s="1"/>
  <c r="S16" i="15"/>
  <c r="O16" i="15"/>
  <c r="P16" i="15" s="1"/>
  <c r="N16" i="15"/>
  <c r="AF16" i="15" s="1"/>
  <c r="J16" i="15"/>
  <c r="F16" i="15"/>
  <c r="AB15" i="15"/>
  <c r="X15" i="15"/>
  <c r="S15" i="15"/>
  <c r="Q15" i="15"/>
  <c r="O15" i="15"/>
  <c r="P15" i="15" s="1"/>
  <c r="N15" i="15"/>
  <c r="AF15" i="15" s="1"/>
  <c r="J15" i="15"/>
  <c r="F15" i="15"/>
  <c r="AL15" i="15" s="1"/>
  <c r="AB14" i="15"/>
  <c r="X14" i="15"/>
  <c r="W14" i="15"/>
  <c r="S14" i="15"/>
  <c r="Q14" i="15"/>
  <c r="O14" i="15"/>
  <c r="P14" i="15" s="1"/>
  <c r="N14" i="15"/>
  <c r="AF14" i="15" s="1"/>
  <c r="J14" i="15"/>
  <c r="F14" i="15"/>
  <c r="G14" i="15" s="1"/>
  <c r="AB13" i="15"/>
  <c r="X13" i="15"/>
  <c r="S13" i="15"/>
  <c r="Q13" i="15"/>
  <c r="O13" i="15"/>
  <c r="N13" i="15"/>
  <c r="J13" i="15"/>
  <c r="G13" i="15"/>
  <c r="F13" i="15"/>
  <c r="AB12" i="15"/>
  <c r="X12" i="15"/>
  <c r="Q12" i="15"/>
  <c r="S12" i="15" s="1"/>
  <c r="N12" i="15"/>
  <c r="AF12" i="15" s="1"/>
  <c r="J12" i="15"/>
  <c r="F12" i="15"/>
  <c r="G12" i="15" s="1"/>
  <c r="AB11" i="15"/>
  <c r="X11" i="15"/>
  <c r="Q11" i="15"/>
  <c r="S11" i="15" s="1"/>
  <c r="N11" i="15"/>
  <c r="J11" i="15"/>
  <c r="F11" i="15"/>
  <c r="AB10" i="15"/>
  <c r="X10" i="15"/>
  <c r="Q10" i="15"/>
  <c r="N10" i="15"/>
  <c r="W10" i="15" s="1"/>
  <c r="AK10" i="15" s="1"/>
  <c r="J10" i="15"/>
  <c r="F10" i="15"/>
  <c r="AB9" i="15"/>
  <c r="X9" i="15"/>
  <c r="Q9" i="15"/>
  <c r="S9" i="15" s="1"/>
  <c r="N9" i="15"/>
  <c r="J9" i="15"/>
  <c r="F9" i="15"/>
  <c r="G9" i="15" s="1"/>
  <c r="AB8" i="15"/>
  <c r="X8" i="15"/>
  <c r="Q8" i="15"/>
  <c r="N8" i="15"/>
  <c r="AF8" i="15" s="1"/>
  <c r="J8" i="15"/>
  <c r="F8" i="15"/>
  <c r="AB7" i="15"/>
  <c r="Y7" i="15"/>
  <c r="X7" i="15"/>
  <c r="S7" i="15"/>
  <c r="O7" i="15"/>
  <c r="P7" i="15" s="1"/>
  <c r="AB6" i="15"/>
  <c r="Y6" i="15"/>
  <c r="X6" i="15"/>
  <c r="B1" i="15"/>
  <c r="AI43" i="16"/>
  <c r="AD43" i="16"/>
  <c r="AI39" i="16"/>
  <c r="AD39" i="16"/>
  <c r="AB38" i="16"/>
  <c r="X38" i="16"/>
  <c r="S38" i="16"/>
  <c r="Q38" i="16"/>
  <c r="O38" i="16" s="1"/>
  <c r="N38" i="16"/>
  <c r="J38" i="16"/>
  <c r="F38" i="16"/>
  <c r="AL38" i="16" s="1"/>
  <c r="AB37" i="16"/>
  <c r="X37" i="16"/>
  <c r="Q37" i="16"/>
  <c r="S37" i="16" s="1"/>
  <c r="O37" i="16"/>
  <c r="N37" i="16"/>
  <c r="J37" i="16"/>
  <c r="F37" i="16"/>
  <c r="AB36" i="16"/>
  <c r="X36" i="16"/>
  <c r="S36" i="16"/>
  <c r="Q36" i="16"/>
  <c r="O36" i="16"/>
  <c r="P36" i="16" s="1"/>
  <c r="N36" i="16"/>
  <c r="W36" i="16" s="1"/>
  <c r="J36" i="16"/>
  <c r="G36" i="16"/>
  <c r="F36" i="16"/>
  <c r="AL36" i="16" s="1"/>
  <c r="AF35" i="16"/>
  <c r="AB35" i="16"/>
  <c r="X35" i="16"/>
  <c r="W35" i="16"/>
  <c r="Y35" i="16" s="1"/>
  <c r="S35" i="16"/>
  <c r="Q35" i="16"/>
  <c r="O35" i="16"/>
  <c r="P35" i="16" s="1"/>
  <c r="N35" i="16"/>
  <c r="J35" i="16"/>
  <c r="G35" i="16"/>
  <c r="F35" i="16"/>
  <c r="AL34" i="16"/>
  <c r="AB34" i="16"/>
  <c r="X34" i="16"/>
  <c r="S34" i="16"/>
  <c r="Q34" i="16"/>
  <c r="O34" i="16"/>
  <c r="P34" i="16" s="1"/>
  <c r="N34" i="16"/>
  <c r="W34" i="16" s="1"/>
  <c r="AK34" i="16" s="1"/>
  <c r="J34" i="16"/>
  <c r="F34" i="16"/>
  <c r="AB33" i="16"/>
  <c r="X33" i="16"/>
  <c r="S33" i="16"/>
  <c r="O33" i="16"/>
  <c r="P33" i="16" s="1"/>
  <c r="N33" i="16"/>
  <c r="AF33" i="16" s="1"/>
  <c r="J33" i="16"/>
  <c r="F33" i="16"/>
  <c r="AB32" i="16"/>
  <c r="X32" i="16"/>
  <c r="S32" i="16"/>
  <c r="Q32" i="16"/>
  <c r="O32" i="16"/>
  <c r="N32" i="16"/>
  <c r="W32" i="16" s="1"/>
  <c r="AK32" i="16" s="1"/>
  <c r="J32" i="16"/>
  <c r="F32" i="16"/>
  <c r="AG32" i="16" s="1"/>
  <c r="AB31" i="16"/>
  <c r="X31" i="16"/>
  <c r="Y31" i="16" s="1"/>
  <c r="S31" i="16"/>
  <c r="Q31" i="16"/>
  <c r="O31" i="16" s="1"/>
  <c r="P31" i="16" s="1"/>
  <c r="N31" i="16"/>
  <c r="W31" i="16" s="1"/>
  <c r="AK31" i="16" s="1"/>
  <c r="J31" i="16"/>
  <c r="F31" i="16"/>
  <c r="G31" i="16" s="1"/>
  <c r="AF30" i="16"/>
  <c r="AB30" i="16"/>
  <c r="X30" i="16"/>
  <c r="Y30" i="16" s="1"/>
  <c r="S30" i="16"/>
  <c r="O30" i="16"/>
  <c r="P30" i="16" s="1"/>
  <c r="N30" i="16"/>
  <c r="W30" i="16" s="1"/>
  <c r="AK30" i="16" s="1"/>
  <c r="J30" i="16"/>
  <c r="F30" i="16"/>
  <c r="AB29" i="16"/>
  <c r="X29" i="16"/>
  <c r="W29" i="16"/>
  <c r="AK29" i="16" s="1"/>
  <c r="S29" i="16"/>
  <c r="Q29" i="16"/>
  <c r="O29" i="16"/>
  <c r="P29" i="16" s="1"/>
  <c r="N29" i="16"/>
  <c r="AF29" i="16" s="1"/>
  <c r="J29" i="16"/>
  <c r="F29" i="16"/>
  <c r="G29" i="16" s="1"/>
  <c r="AB28" i="16"/>
  <c r="X28" i="16"/>
  <c r="S28" i="16"/>
  <c r="Q28" i="16"/>
  <c r="O28" i="16" s="1"/>
  <c r="N28" i="16"/>
  <c r="J28" i="16"/>
  <c r="F28" i="16"/>
  <c r="AL28" i="16" s="1"/>
  <c r="AB27" i="16"/>
  <c r="X27" i="16"/>
  <c r="Q27" i="16"/>
  <c r="N27" i="16"/>
  <c r="W27" i="16" s="1"/>
  <c r="AK27" i="16" s="1"/>
  <c r="J27" i="16"/>
  <c r="F27" i="16"/>
  <c r="AG26" i="16"/>
  <c r="AB26" i="16"/>
  <c r="X26" i="16"/>
  <c r="Q26" i="16"/>
  <c r="S26" i="16" s="1"/>
  <c r="O26" i="16"/>
  <c r="N26" i="16"/>
  <c r="J26" i="16"/>
  <c r="F26" i="16"/>
  <c r="AB25" i="16"/>
  <c r="X25" i="16"/>
  <c r="Y25" i="16" s="1"/>
  <c r="S25" i="16"/>
  <c r="O25" i="16"/>
  <c r="P25" i="16" s="1"/>
  <c r="N25" i="16"/>
  <c r="W25" i="16" s="1"/>
  <c r="AK25" i="16" s="1"/>
  <c r="J25" i="16"/>
  <c r="F25" i="16"/>
  <c r="AL25" i="16" s="1"/>
  <c r="AB24" i="16"/>
  <c r="X24" i="16"/>
  <c r="W24" i="16"/>
  <c r="AK24" i="16" s="1"/>
  <c r="Q24" i="16"/>
  <c r="N24" i="16"/>
  <c r="AF24" i="16" s="1"/>
  <c r="J24" i="16"/>
  <c r="F24" i="16"/>
  <c r="AB23" i="16"/>
  <c r="X23" i="16"/>
  <c r="Q23" i="16"/>
  <c r="S23" i="16" s="1"/>
  <c r="O23" i="16"/>
  <c r="P23" i="16" s="1"/>
  <c r="N23" i="16"/>
  <c r="J23" i="16"/>
  <c r="F23" i="16"/>
  <c r="AG23" i="16" s="1"/>
  <c r="AB22" i="16"/>
  <c r="X22" i="16"/>
  <c r="Y22" i="16" s="1"/>
  <c r="Q22" i="16"/>
  <c r="S22" i="16" s="1"/>
  <c r="O22" i="16"/>
  <c r="P22" i="16" s="1"/>
  <c r="N22" i="16"/>
  <c r="W22" i="16" s="1"/>
  <c r="AK22" i="16" s="1"/>
  <c r="J22" i="16"/>
  <c r="F22" i="16"/>
  <c r="AB21" i="16"/>
  <c r="X21" i="16"/>
  <c r="S21" i="16"/>
  <c r="Q21" i="16"/>
  <c r="O21" i="16" s="1"/>
  <c r="P21" i="16" s="1"/>
  <c r="N21" i="16"/>
  <c r="J21" i="16"/>
  <c r="F21" i="16"/>
  <c r="AG21" i="16" s="1"/>
  <c r="AB20" i="16"/>
  <c r="X20" i="16"/>
  <c r="Q20" i="16"/>
  <c r="S20" i="16" s="1"/>
  <c r="O20" i="16"/>
  <c r="P20" i="16" s="1"/>
  <c r="N20" i="16"/>
  <c r="AF20" i="16" s="1"/>
  <c r="J20" i="16"/>
  <c r="F20" i="16"/>
  <c r="AB19" i="16"/>
  <c r="X19" i="16"/>
  <c r="S19" i="16"/>
  <c r="Q19" i="16"/>
  <c r="P19" i="16"/>
  <c r="O19" i="16"/>
  <c r="N19" i="16"/>
  <c r="W19" i="16" s="1"/>
  <c r="J19" i="16"/>
  <c r="F19" i="16"/>
  <c r="AL19" i="16" s="1"/>
  <c r="AB18" i="16"/>
  <c r="X18" i="16"/>
  <c r="S18" i="16"/>
  <c r="Q18" i="16"/>
  <c r="O18" i="16"/>
  <c r="N18" i="16"/>
  <c r="J18" i="16"/>
  <c r="G18" i="16"/>
  <c r="F18" i="16"/>
  <c r="AB17" i="16"/>
  <c r="X17" i="16"/>
  <c r="S17" i="16"/>
  <c r="Q17" i="16"/>
  <c r="O17" i="16" s="1"/>
  <c r="P17" i="16"/>
  <c r="N17" i="16"/>
  <c r="J17" i="16"/>
  <c r="F17" i="16"/>
  <c r="AG17" i="16" s="1"/>
  <c r="AB16" i="16"/>
  <c r="X16" i="16"/>
  <c r="S16" i="16"/>
  <c r="O16" i="16"/>
  <c r="P16" i="16" s="1"/>
  <c r="N16" i="16"/>
  <c r="AF16" i="16" s="1"/>
  <c r="J16" i="16"/>
  <c r="F16" i="16"/>
  <c r="AB15" i="16"/>
  <c r="X15" i="16"/>
  <c r="S15" i="16"/>
  <c r="Q15" i="16"/>
  <c r="O15" i="16"/>
  <c r="N15" i="16"/>
  <c r="J15" i="16"/>
  <c r="G15" i="16"/>
  <c r="F15" i="16"/>
  <c r="AB14" i="16"/>
  <c r="X14" i="16"/>
  <c r="S14" i="16"/>
  <c r="Q14" i="16"/>
  <c r="O14" i="16"/>
  <c r="P14" i="16" s="1"/>
  <c r="N14" i="16"/>
  <c r="AF14" i="16" s="1"/>
  <c r="J14" i="16"/>
  <c r="G14" i="16"/>
  <c r="F14" i="16"/>
  <c r="AF13" i="16"/>
  <c r="AB13" i="16"/>
  <c r="X13" i="16"/>
  <c r="W13" i="16"/>
  <c r="AK13" i="16" s="1"/>
  <c r="Q13" i="16"/>
  <c r="N13" i="16"/>
  <c r="J13" i="16"/>
  <c r="F13" i="16"/>
  <c r="AL13" i="16" s="1"/>
  <c r="AB12" i="16"/>
  <c r="X12" i="16"/>
  <c r="S12" i="16"/>
  <c r="Q12" i="16"/>
  <c r="O12" i="16"/>
  <c r="P12" i="16" s="1"/>
  <c r="N12" i="16"/>
  <c r="W12" i="16" s="1"/>
  <c r="AK12" i="16" s="1"/>
  <c r="J12" i="16"/>
  <c r="F12" i="16"/>
  <c r="AB11" i="16"/>
  <c r="X11" i="16"/>
  <c r="S11" i="16"/>
  <c r="Q11" i="16"/>
  <c r="O11" i="16"/>
  <c r="P11" i="16" s="1"/>
  <c r="N11" i="16"/>
  <c r="AF11" i="16" s="1"/>
  <c r="J11" i="16"/>
  <c r="G11" i="16"/>
  <c r="F11" i="16"/>
  <c r="AL11" i="16" s="1"/>
  <c r="AB10" i="16"/>
  <c r="X10" i="16"/>
  <c r="W10" i="16"/>
  <c r="AK10" i="16" s="1"/>
  <c r="S10" i="16"/>
  <c r="Q10" i="16"/>
  <c r="O10" i="16"/>
  <c r="P10" i="16" s="1"/>
  <c r="N10" i="16"/>
  <c r="AF10" i="16" s="1"/>
  <c r="J10" i="16"/>
  <c r="G10" i="16"/>
  <c r="F10" i="16"/>
  <c r="AG10" i="16" s="1"/>
  <c r="AL9" i="16"/>
  <c r="AB9" i="16"/>
  <c r="X9" i="16"/>
  <c r="S9" i="16"/>
  <c r="Q9" i="16"/>
  <c r="O9" i="16" s="1"/>
  <c r="P9" i="16" s="1"/>
  <c r="N9" i="16"/>
  <c r="AF9" i="16" s="1"/>
  <c r="J9" i="16"/>
  <c r="F9" i="16"/>
  <c r="AB8" i="16"/>
  <c r="X8" i="16"/>
  <c r="Q8" i="16"/>
  <c r="S8" i="16" s="1"/>
  <c r="N8" i="16"/>
  <c r="J8" i="16"/>
  <c r="F8" i="16"/>
  <c r="AL8" i="16" s="1"/>
  <c r="AB7" i="16"/>
  <c r="X7" i="16"/>
  <c r="Y7" i="16" s="1"/>
  <c r="S7" i="16"/>
  <c r="O7" i="16"/>
  <c r="P7" i="16" s="1"/>
  <c r="AB6" i="16"/>
  <c r="X6" i="16"/>
  <c r="Y6" i="16" s="1"/>
  <c r="B1" i="16"/>
  <c r="AI43" i="17"/>
  <c r="AD43" i="17"/>
  <c r="AI39" i="17"/>
  <c r="AD39" i="17"/>
  <c r="AB38" i="17"/>
  <c r="X38" i="17"/>
  <c r="Y38" i="17" s="1"/>
  <c r="W38" i="17"/>
  <c r="AK38" i="17" s="1"/>
  <c r="S38" i="17"/>
  <c r="Q38" i="17"/>
  <c r="O38" i="17"/>
  <c r="P38" i="17" s="1"/>
  <c r="N38" i="17"/>
  <c r="AF38" i="17" s="1"/>
  <c r="J38" i="17"/>
  <c r="G38" i="17"/>
  <c r="F38" i="17"/>
  <c r="AL38" i="17" s="1"/>
  <c r="AB37" i="17"/>
  <c r="X37" i="17"/>
  <c r="Q37" i="17"/>
  <c r="S37" i="17" s="1"/>
  <c r="N37" i="17"/>
  <c r="J37" i="17"/>
  <c r="F37" i="17"/>
  <c r="AF36" i="17"/>
  <c r="AB36" i="17"/>
  <c r="X36" i="17"/>
  <c r="Y36" i="17" s="1"/>
  <c r="Q36" i="17"/>
  <c r="N36" i="17"/>
  <c r="W36" i="17" s="1"/>
  <c r="AK36" i="17" s="1"/>
  <c r="J36" i="17"/>
  <c r="F36" i="17"/>
  <c r="AB35" i="17"/>
  <c r="X35" i="17"/>
  <c r="Q35" i="17"/>
  <c r="S35" i="17" s="1"/>
  <c r="N35" i="17"/>
  <c r="J35" i="17"/>
  <c r="F35" i="17"/>
  <c r="G35" i="17" s="1"/>
  <c r="AB34" i="17"/>
  <c r="X34" i="17"/>
  <c r="Y34" i="17" s="1"/>
  <c r="Q34" i="17"/>
  <c r="S34" i="17" s="1"/>
  <c r="N34" i="17"/>
  <c r="W34" i="17" s="1"/>
  <c r="AK34" i="17" s="1"/>
  <c r="J34" i="17"/>
  <c r="F34" i="17"/>
  <c r="AB33" i="17"/>
  <c r="X33" i="17"/>
  <c r="S33" i="17"/>
  <c r="O33" i="17"/>
  <c r="N33" i="17"/>
  <c r="J33" i="17"/>
  <c r="F33" i="17"/>
  <c r="AB32" i="17"/>
  <c r="X32" i="17"/>
  <c r="Q32" i="17"/>
  <c r="S32" i="17" s="1"/>
  <c r="N32" i="17"/>
  <c r="J32" i="17"/>
  <c r="F32" i="17"/>
  <c r="G32" i="17" s="1"/>
  <c r="AB31" i="17"/>
  <c r="X31" i="17"/>
  <c r="Q31" i="17"/>
  <c r="S31" i="17" s="1"/>
  <c r="N31" i="17"/>
  <c r="W31" i="17" s="1"/>
  <c r="J31" i="17"/>
  <c r="F31" i="17"/>
  <c r="AB30" i="17"/>
  <c r="X30" i="17"/>
  <c r="S30" i="17"/>
  <c r="O30" i="17"/>
  <c r="N30" i="17"/>
  <c r="J30" i="17"/>
  <c r="F30" i="17"/>
  <c r="AB29" i="17"/>
  <c r="X29" i="17"/>
  <c r="Q29" i="17"/>
  <c r="S29" i="17" s="1"/>
  <c r="N29" i="17"/>
  <c r="J29" i="17"/>
  <c r="F29" i="17"/>
  <c r="G29" i="17" s="1"/>
  <c r="AB28" i="17"/>
  <c r="X28" i="17"/>
  <c r="Y28" i="17" s="1"/>
  <c r="Q28" i="17"/>
  <c r="S28" i="17" s="1"/>
  <c r="N28" i="17"/>
  <c r="W28" i="17" s="1"/>
  <c r="AK28" i="17" s="1"/>
  <c r="J28" i="17"/>
  <c r="F28" i="17"/>
  <c r="AG27" i="17"/>
  <c r="AB27" i="17"/>
  <c r="X27" i="17"/>
  <c r="S27" i="17"/>
  <c r="Q27" i="17"/>
  <c r="O27" i="17"/>
  <c r="N27" i="17"/>
  <c r="J27" i="17"/>
  <c r="G27" i="17"/>
  <c r="F27" i="17"/>
  <c r="AL27" i="17" s="1"/>
  <c r="AB26" i="17"/>
  <c r="X26" i="17"/>
  <c r="W26" i="17"/>
  <c r="S26" i="17"/>
  <c r="Q26" i="17"/>
  <c r="O26" i="17"/>
  <c r="P26" i="17" s="1"/>
  <c r="N26" i="17"/>
  <c r="AF26" i="17" s="1"/>
  <c r="J26" i="17"/>
  <c r="G26" i="17"/>
  <c r="F26" i="17"/>
  <c r="AL26" i="17" s="1"/>
  <c r="AL25" i="17"/>
  <c r="AB25" i="17"/>
  <c r="X25" i="17"/>
  <c r="S25" i="17"/>
  <c r="O25" i="17"/>
  <c r="P25" i="17" s="1"/>
  <c r="N25" i="17"/>
  <c r="W25" i="17" s="1"/>
  <c r="AK25" i="17" s="1"/>
  <c r="J25" i="17"/>
  <c r="F25" i="17"/>
  <c r="AB24" i="17"/>
  <c r="X24" i="17"/>
  <c r="S24" i="17"/>
  <c r="Q24" i="17"/>
  <c r="O24" i="17"/>
  <c r="P24" i="17" s="1"/>
  <c r="N24" i="17"/>
  <c r="AF24" i="17" s="1"/>
  <c r="J24" i="17"/>
  <c r="G24" i="17"/>
  <c r="F24" i="17"/>
  <c r="AL24" i="17" s="1"/>
  <c r="AB23" i="17"/>
  <c r="X23" i="17"/>
  <c r="Y23" i="17" s="1"/>
  <c r="W23" i="17"/>
  <c r="AK23" i="17" s="1"/>
  <c r="S23" i="17"/>
  <c r="Q23" i="17"/>
  <c r="O23" i="17"/>
  <c r="P23" i="17" s="1"/>
  <c r="N23" i="17"/>
  <c r="AF23" i="17" s="1"/>
  <c r="J23" i="17"/>
  <c r="F23" i="17"/>
  <c r="AB22" i="17"/>
  <c r="X22" i="17"/>
  <c r="S22" i="17"/>
  <c r="Q22" i="17"/>
  <c r="O22" i="17" s="1"/>
  <c r="N22" i="17"/>
  <c r="J22" i="17"/>
  <c r="F22" i="17"/>
  <c r="AG22" i="17" s="1"/>
  <c r="AB21" i="17"/>
  <c r="X21" i="17"/>
  <c r="W21" i="17"/>
  <c r="AK21" i="17" s="1"/>
  <c r="Q21" i="17"/>
  <c r="S21" i="17" s="1"/>
  <c r="O21" i="17"/>
  <c r="P21" i="17" s="1"/>
  <c r="N21" i="17"/>
  <c r="AF21" i="17" s="1"/>
  <c r="J21" i="17"/>
  <c r="F21" i="17"/>
  <c r="AB20" i="17"/>
  <c r="X20" i="17"/>
  <c r="Q20" i="17"/>
  <c r="S20" i="17" s="1"/>
  <c r="N20" i="17"/>
  <c r="J20" i="17"/>
  <c r="F20" i="17"/>
  <c r="AL20" i="17" s="1"/>
  <c r="AF19" i="17"/>
  <c r="AB19" i="17"/>
  <c r="X19" i="17"/>
  <c r="Y19" i="17" s="1"/>
  <c r="Q19" i="17"/>
  <c r="N19" i="17"/>
  <c r="W19" i="17" s="1"/>
  <c r="AK19" i="17" s="1"/>
  <c r="J19" i="17"/>
  <c r="F19" i="17"/>
  <c r="AB18" i="17"/>
  <c r="X18" i="17"/>
  <c r="Q18" i="17"/>
  <c r="N18" i="17"/>
  <c r="J18" i="17"/>
  <c r="F18" i="17"/>
  <c r="AB17" i="17"/>
  <c r="X17" i="17"/>
  <c r="Q17" i="17"/>
  <c r="S17" i="17" s="1"/>
  <c r="N17" i="17"/>
  <c r="W17" i="17" s="1"/>
  <c r="AK17" i="17" s="1"/>
  <c r="J17" i="17"/>
  <c r="F17" i="17"/>
  <c r="AG16" i="17"/>
  <c r="AB16" i="17"/>
  <c r="X16" i="17"/>
  <c r="S16" i="17"/>
  <c r="O16" i="17"/>
  <c r="N16" i="17"/>
  <c r="J16" i="17"/>
  <c r="F16" i="17"/>
  <c r="AB15" i="17"/>
  <c r="X15" i="17"/>
  <c r="Q15" i="17"/>
  <c r="N15" i="17"/>
  <c r="J15" i="17"/>
  <c r="F15" i="17"/>
  <c r="AB14" i="17"/>
  <c r="X14" i="17"/>
  <c r="Q14" i="17"/>
  <c r="S14" i="17" s="1"/>
  <c r="O14" i="17"/>
  <c r="N14" i="17"/>
  <c r="W14" i="17" s="1"/>
  <c r="J14" i="17"/>
  <c r="F14" i="17"/>
  <c r="AB13" i="17"/>
  <c r="X13" i="17"/>
  <c r="S13" i="17"/>
  <c r="Q13" i="17"/>
  <c r="O13" i="17"/>
  <c r="P13" i="17" s="1"/>
  <c r="N13" i="17"/>
  <c r="AF13" i="17" s="1"/>
  <c r="J13" i="17"/>
  <c r="G13" i="17"/>
  <c r="F13" i="17"/>
  <c r="AL13" i="17" s="1"/>
  <c r="AL12" i="17"/>
  <c r="AB12" i="17"/>
  <c r="X12" i="17"/>
  <c r="W12" i="17"/>
  <c r="S12" i="17"/>
  <c r="Q12" i="17"/>
  <c r="O12" i="17"/>
  <c r="P12" i="17" s="1"/>
  <c r="N12" i="17"/>
  <c r="AF12" i="17" s="1"/>
  <c r="J12" i="17"/>
  <c r="G12" i="17"/>
  <c r="F12" i="17"/>
  <c r="AL11" i="17"/>
  <c r="AF11" i="17"/>
  <c r="AB11" i="17"/>
  <c r="X11" i="17"/>
  <c r="W11" i="17"/>
  <c r="AK11" i="17" s="1"/>
  <c r="S11" i="17"/>
  <c r="Q11" i="17"/>
  <c r="O11" i="17" s="1"/>
  <c r="P11" i="17" s="1"/>
  <c r="N11" i="17"/>
  <c r="J11" i="17"/>
  <c r="G11" i="17"/>
  <c r="F11" i="17"/>
  <c r="AF10" i="17"/>
  <c r="AB10" i="17"/>
  <c r="X10" i="17"/>
  <c r="Q10" i="17"/>
  <c r="S10" i="17" s="1"/>
  <c r="N10" i="17"/>
  <c r="W10" i="17" s="1"/>
  <c r="AK10" i="17" s="1"/>
  <c r="J10" i="17"/>
  <c r="F10" i="17"/>
  <c r="G10" i="17" s="1"/>
  <c r="AB9" i="17"/>
  <c r="X9" i="17"/>
  <c r="AL9" i="17" s="1"/>
  <c r="Q9" i="17"/>
  <c r="S9" i="17" s="1"/>
  <c r="N9" i="17"/>
  <c r="J9" i="17"/>
  <c r="F9" i="17"/>
  <c r="AB8" i="17"/>
  <c r="X8" i="17"/>
  <c r="Q8" i="17"/>
  <c r="N8" i="17"/>
  <c r="AF8" i="17" s="1"/>
  <c r="J8" i="17"/>
  <c r="F8" i="17"/>
  <c r="AB7" i="17"/>
  <c r="X7" i="17"/>
  <c r="Y7" i="17" s="1"/>
  <c r="S7" i="17"/>
  <c r="O7" i="17"/>
  <c r="P7" i="17" s="1"/>
  <c r="AB6" i="17"/>
  <c r="Y6" i="17"/>
  <c r="X6" i="17"/>
  <c r="B1" i="17"/>
  <c r="AI43" i="18"/>
  <c r="AD43" i="18"/>
  <c r="AI39" i="18"/>
  <c r="AD39" i="18"/>
  <c r="AB38" i="18"/>
  <c r="X38" i="18"/>
  <c r="Y38" i="18" s="1"/>
  <c r="S38" i="18"/>
  <c r="Q38" i="18"/>
  <c r="O38" i="18" s="1"/>
  <c r="P38" i="18" s="1"/>
  <c r="N38" i="18"/>
  <c r="W38" i="18" s="1"/>
  <c r="AK38" i="18" s="1"/>
  <c r="J38" i="18"/>
  <c r="G38" i="18"/>
  <c r="F38" i="18"/>
  <c r="AG38" i="18" s="1"/>
  <c r="AB37" i="18"/>
  <c r="X37" i="18"/>
  <c r="Y37" i="18" s="1"/>
  <c r="Q37" i="18"/>
  <c r="N37" i="18"/>
  <c r="W37" i="18" s="1"/>
  <c r="AK37" i="18" s="1"/>
  <c r="J37" i="18"/>
  <c r="F37" i="18"/>
  <c r="AB36" i="18"/>
  <c r="X36" i="18"/>
  <c r="Q36" i="18"/>
  <c r="N36" i="18"/>
  <c r="J36" i="18"/>
  <c r="F36" i="18"/>
  <c r="AB35" i="18"/>
  <c r="X35" i="18"/>
  <c r="Q35" i="18"/>
  <c r="S35" i="18" s="1"/>
  <c r="O35" i="18"/>
  <c r="N35" i="18"/>
  <c r="W35" i="18" s="1"/>
  <c r="J35" i="18"/>
  <c r="F35" i="18"/>
  <c r="AB34" i="18"/>
  <c r="X34" i="18"/>
  <c r="S34" i="18"/>
  <c r="Q34" i="18"/>
  <c r="O34" i="18"/>
  <c r="N34" i="18"/>
  <c r="W34" i="18" s="1"/>
  <c r="AK34" i="18" s="1"/>
  <c r="J34" i="18"/>
  <c r="F34" i="18"/>
  <c r="AL34" i="18" s="1"/>
  <c r="AB33" i="18"/>
  <c r="X33" i="18"/>
  <c r="W33" i="18"/>
  <c r="S33" i="18"/>
  <c r="O33" i="18"/>
  <c r="N33" i="18"/>
  <c r="AF33" i="18" s="1"/>
  <c r="J33" i="18"/>
  <c r="F33" i="18"/>
  <c r="AK32" i="18"/>
  <c r="AB32" i="18"/>
  <c r="X32" i="18"/>
  <c r="Q32" i="18"/>
  <c r="S32" i="18" s="1"/>
  <c r="O32" i="18"/>
  <c r="P32" i="18" s="1"/>
  <c r="N32" i="18"/>
  <c r="W32" i="18" s="1"/>
  <c r="J32" i="18"/>
  <c r="F32" i="18"/>
  <c r="AG32" i="18" s="1"/>
  <c r="AB31" i="18"/>
  <c r="X31" i="18"/>
  <c r="S31" i="18"/>
  <c r="Q31" i="18"/>
  <c r="O31" i="18"/>
  <c r="N31" i="18"/>
  <c r="W31" i="18" s="1"/>
  <c r="AK31" i="18" s="1"/>
  <c r="J31" i="18"/>
  <c r="G31" i="18"/>
  <c r="F31" i="18"/>
  <c r="AL31" i="18" s="1"/>
  <c r="AB30" i="18"/>
  <c r="X30" i="18"/>
  <c r="S30" i="18"/>
  <c r="O30" i="18"/>
  <c r="N30" i="18"/>
  <c r="J30" i="18"/>
  <c r="F30" i="18"/>
  <c r="AB29" i="18"/>
  <c r="Y29" i="18"/>
  <c r="X29" i="18"/>
  <c r="W29" i="18"/>
  <c r="AK29" i="18" s="1"/>
  <c r="Q29" i="18"/>
  <c r="S29" i="18" s="1"/>
  <c r="O29" i="18"/>
  <c r="N29" i="18"/>
  <c r="AF29" i="18" s="1"/>
  <c r="J29" i="18"/>
  <c r="F29" i="18"/>
  <c r="AL28" i="18"/>
  <c r="AF28" i="18"/>
  <c r="AB28" i="18"/>
  <c r="X28" i="18"/>
  <c r="S28" i="18"/>
  <c r="Q28" i="18"/>
  <c r="O28" i="18"/>
  <c r="N28" i="18"/>
  <c r="W28" i="18" s="1"/>
  <c r="J28" i="18"/>
  <c r="G28" i="18"/>
  <c r="F28" i="18"/>
  <c r="AG28" i="18" s="1"/>
  <c r="AB27" i="18"/>
  <c r="X27" i="18"/>
  <c r="S27" i="18"/>
  <c r="Q27" i="18"/>
  <c r="O27" i="18" s="1"/>
  <c r="N27" i="18"/>
  <c r="AF27" i="18" s="1"/>
  <c r="J27" i="18"/>
  <c r="F27" i="18"/>
  <c r="AB26" i="18"/>
  <c r="X26" i="18"/>
  <c r="Q26" i="18"/>
  <c r="N26" i="18"/>
  <c r="AF26" i="18" s="1"/>
  <c r="J26" i="18"/>
  <c r="F26" i="18"/>
  <c r="AB25" i="18"/>
  <c r="X25" i="18"/>
  <c r="S25" i="18"/>
  <c r="O25" i="18"/>
  <c r="N25" i="18"/>
  <c r="W25" i="18" s="1"/>
  <c r="J25" i="18"/>
  <c r="G25" i="18"/>
  <c r="F25" i="18"/>
  <c r="AB24" i="18"/>
  <c r="X24" i="18"/>
  <c r="S24" i="18"/>
  <c r="Q24" i="18"/>
  <c r="O24" i="18" s="1"/>
  <c r="N24" i="18"/>
  <c r="J24" i="18"/>
  <c r="G24" i="18"/>
  <c r="F24" i="18"/>
  <c r="AB23" i="18"/>
  <c r="X23" i="18"/>
  <c r="W23" i="18"/>
  <c r="AK23" i="18" s="1"/>
  <c r="Q23" i="18"/>
  <c r="N23" i="18"/>
  <c r="AF23" i="18" s="1"/>
  <c r="J23" i="18"/>
  <c r="F23" i="18"/>
  <c r="AL23" i="18" s="1"/>
  <c r="AF22" i="18"/>
  <c r="AB22" i="18"/>
  <c r="X22" i="18"/>
  <c r="Y22" i="18" s="1"/>
  <c r="Q22" i="18"/>
  <c r="S22" i="18" s="1"/>
  <c r="N22" i="18"/>
  <c r="W22" i="18" s="1"/>
  <c r="AK22" i="18" s="1"/>
  <c r="J22" i="18"/>
  <c r="F22" i="18"/>
  <c r="G22" i="18" s="1"/>
  <c r="AB21" i="18"/>
  <c r="X21" i="18"/>
  <c r="Q21" i="18"/>
  <c r="S21" i="18" s="1"/>
  <c r="O21" i="18"/>
  <c r="N21" i="18"/>
  <c r="J21" i="18"/>
  <c r="F21" i="18"/>
  <c r="G21" i="18" s="1"/>
  <c r="AB20" i="18"/>
  <c r="X20" i="18"/>
  <c r="Q20" i="18"/>
  <c r="N20" i="18"/>
  <c r="W20" i="18" s="1"/>
  <c r="AK20" i="18" s="1"/>
  <c r="J20" i="18"/>
  <c r="F20" i="18"/>
  <c r="AB19" i="18"/>
  <c r="X19" i="18"/>
  <c r="Q19" i="18"/>
  <c r="S19" i="18" s="1"/>
  <c r="N19" i="18"/>
  <c r="AF19" i="18" s="1"/>
  <c r="J19" i="18"/>
  <c r="F19" i="18"/>
  <c r="G19" i="18" s="1"/>
  <c r="AB18" i="18"/>
  <c r="X18" i="18"/>
  <c r="Y18" i="18" s="1"/>
  <c r="W18" i="18"/>
  <c r="AK18" i="18" s="1"/>
  <c r="Q18" i="18"/>
  <c r="S18" i="18" s="1"/>
  <c r="O18" i="18"/>
  <c r="N18" i="18"/>
  <c r="AF18" i="18" s="1"/>
  <c r="J18" i="18"/>
  <c r="F18" i="18"/>
  <c r="G18" i="18" s="1"/>
  <c r="AF17" i="18"/>
  <c r="AB17" i="18"/>
  <c r="X17" i="18"/>
  <c r="S17" i="18"/>
  <c r="Q17" i="18"/>
  <c r="O17" i="18"/>
  <c r="P17" i="18" s="1"/>
  <c r="N17" i="18"/>
  <c r="W17" i="18" s="1"/>
  <c r="J17" i="18"/>
  <c r="G17" i="18"/>
  <c r="F17" i="18"/>
  <c r="AG17" i="18" s="1"/>
  <c r="AF16" i="18"/>
  <c r="AB16" i="18"/>
  <c r="X16" i="18"/>
  <c r="S16" i="18"/>
  <c r="O16" i="18"/>
  <c r="P16" i="18" s="1"/>
  <c r="N16" i="18"/>
  <c r="W16" i="18" s="1"/>
  <c r="AK16" i="18" s="1"/>
  <c r="J16" i="18"/>
  <c r="F16" i="18"/>
  <c r="AB15" i="18"/>
  <c r="X15" i="18"/>
  <c r="Y15" i="18" s="1"/>
  <c r="W15" i="18"/>
  <c r="AK15" i="18" s="1"/>
  <c r="S15" i="18"/>
  <c r="Q15" i="18"/>
  <c r="O15" i="18"/>
  <c r="N15" i="18"/>
  <c r="AF15" i="18" s="1"/>
  <c r="J15" i="18"/>
  <c r="F15" i="18"/>
  <c r="AL14" i="18"/>
  <c r="AF14" i="18"/>
  <c r="AB14" i="18"/>
  <c r="X14" i="18"/>
  <c r="S14" i="18"/>
  <c r="Q14" i="18"/>
  <c r="O14" i="18"/>
  <c r="N14" i="18"/>
  <c r="W14" i="18" s="1"/>
  <c r="J14" i="18"/>
  <c r="G14" i="18"/>
  <c r="F14" i="18"/>
  <c r="AG14" i="18" s="1"/>
  <c r="AB13" i="18"/>
  <c r="X13" i="18"/>
  <c r="S13" i="18"/>
  <c r="Q13" i="18"/>
  <c r="O13" i="18" s="1"/>
  <c r="N13" i="18"/>
  <c r="AF13" i="18" s="1"/>
  <c r="J13" i="18"/>
  <c r="G13" i="18"/>
  <c r="F13" i="18"/>
  <c r="AL13" i="18" s="1"/>
  <c r="AB12" i="18"/>
  <c r="X12" i="18"/>
  <c r="Q12" i="18"/>
  <c r="N12" i="18"/>
  <c r="J12" i="18"/>
  <c r="F12" i="18"/>
  <c r="AB11" i="18"/>
  <c r="X11" i="18"/>
  <c r="Q11" i="18"/>
  <c r="S11" i="18" s="1"/>
  <c r="N11" i="18"/>
  <c r="J11" i="18"/>
  <c r="F11" i="18"/>
  <c r="AB10" i="18"/>
  <c r="X10" i="18"/>
  <c r="S10" i="18"/>
  <c r="Q10" i="18"/>
  <c r="O10" i="18"/>
  <c r="N10" i="18"/>
  <c r="J10" i="18"/>
  <c r="G10" i="18"/>
  <c r="F10" i="18"/>
  <c r="AB9" i="18"/>
  <c r="X9" i="18"/>
  <c r="Q9" i="18"/>
  <c r="O9" i="18" s="1"/>
  <c r="N9" i="18"/>
  <c r="W9" i="18" s="1"/>
  <c r="AK9" i="18" s="1"/>
  <c r="J9" i="18"/>
  <c r="F9" i="18"/>
  <c r="G9" i="18" s="1"/>
  <c r="AB8" i="18"/>
  <c r="X8" i="18"/>
  <c r="Q8" i="18"/>
  <c r="S8" i="18" s="1"/>
  <c r="N8" i="18"/>
  <c r="W8" i="18" s="1"/>
  <c r="AK8" i="18" s="1"/>
  <c r="J8" i="18"/>
  <c r="F8" i="18"/>
  <c r="G8" i="18" s="1"/>
  <c r="AB7" i="18"/>
  <c r="X7" i="18"/>
  <c r="Y7" i="18" s="1"/>
  <c r="S7" i="18"/>
  <c r="O7" i="18"/>
  <c r="P7" i="18" s="1"/>
  <c r="AB6" i="18"/>
  <c r="X6" i="18"/>
  <c r="Y6" i="18" s="1"/>
  <c r="B1" i="18"/>
  <c r="AI43" i="19"/>
  <c r="AD43" i="19"/>
  <c r="AI39" i="19"/>
  <c r="AD39" i="19"/>
  <c r="AB38" i="19"/>
  <c r="X38" i="19"/>
  <c r="Y38" i="19" s="1"/>
  <c r="Q38" i="19"/>
  <c r="N38" i="19"/>
  <c r="W38" i="19" s="1"/>
  <c r="AK38" i="19" s="1"/>
  <c r="J38" i="19"/>
  <c r="F38" i="19"/>
  <c r="G38" i="19" s="1"/>
  <c r="AB37" i="19"/>
  <c r="X37" i="19"/>
  <c r="W37" i="19"/>
  <c r="Q37" i="19"/>
  <c r="S37" i="19" s="1"/>
  <c r="N37" i="19"/>
  <c r="AF37" i="19" s="1"/>
  <c r="J37" i="19"/>
  <c r="F37" i="19"/>
  <c r="G37" i="19" s="1"/>
  <c r="AB36" i="19"/>
  <c r="X36" i="19"/>
  <c r="S36" i="19"/>
  <c r="Q36" i="19"/>
  <c r="O36" i="19"/>
  <c r="N36" i="19"/>
  <c r="J36" i="19"/>
  <c r="G36" i="19"/>
  <c r="F36" i="19"/>
  <c r="AL36" i="19" s="1"/>
  <c r="AB35" i="19"/>
  <c r="X35" i="19"/>
  <c r="W35" i="19"/>
  <c r="AK35" i="19" s="1"/>
  <c r="S35" i="19"/>
  <c r="Q35" i="19"/>
  <c r="O35" i="19"/>
  <c r="N35" i="19"/>
  <c r="AF35" i="19" s="1"/>
  <c r="J35" i="19"/>
  <c r="G35" i="19"/>
  <c r="F35" i="19"/>
  <c r="AG35" i="19" s="1"/>
  <c r="AB34" i="19"/>
  <c r="X34" i="19"/>
  <c r="S34" i="19"/>
  <c r="Q34" i="19"/>
  <c r="O34" i="19"/>
  <c r="N34" i="19"/>
  <c r="W34" i="19" s="1"/>
  <c r="AK34" i="19" s="1"/>
  <c r="J34" i="19"/>
  <c r="G34" i="19"/>
  <c r="F34" i="19"/>
  <c r="AG34" i="19" s="1"/>
  <c r="AB33" i="19"/>
  <c r="X33" i="19"/>
  <c r="W33" i="19"/>
  <c r="AK33" i="19" s="1"/>
  <c r="S33" i="19"/>
  <c r="P33" i="19"/>
  <c r="O33" i="19"/>
  <c r="N33" i="19"/>
  <c r="AF33" i="19" s="1"/>
  <c r="J33" i="19"/>
  <c r="F33" i="19"/>
  <c r="AL33" i="19" s="1"/>
  <c r="AL32" i="19"/>
  <c r="AB32" i="19"/>
  <c r="X32" i="19"/>
  <c r="Y32" i="19" s="1"/>
  <c r="S32" i="19"/>
  <c r="Q32" i="19"/>
  <c r="O32" i="19"/>
  <c r="N32" i="19"/>
  <c r="W32" i="19" s="1"/>
  <c r="AK32" i="19" s="1"/>
  <c r="J32" i="19"/>
  <c r="F32" i="19"/>
  <c r="AB31" i="19"/>
  <c r="X31" i="19"/>
  <c r="S31" i="19"/>
  <c r="Q31" i="19"/>
  <c r="O31" i="19"/>
  <c r="N31" i="19"/>
  <c r="J31" i="19"/>
  <c r="F31" i="19"/>
  <c r="AF30" i="19"/>
  <c r="AB30" i="19"/>
  <c r="X30" i="19"/>
  <c r="S30" i="19"/>
  <c r="O30" i="19"/>
  <c r="P30" i="19" s="1"/>
  <c r="N30" i="19"/>
  <c r="W30" i="19" s="1"/>
  <c r="AK30" i="19" s="1"/>
  <c r="J30" i="19"/>
  <c r="G30" i="19"/>
  <c r="F30" i="19"/>
  <c r="AG30" i="19" s="1"/>
  <c r="AL29" i="19"/>
  <c r="AB29" i="19"/>
  <c r="X29" i="19"/>
  <c r="W29" i="19"/>
  <c r="AK29" i="19" s="1"/>
  <c r="S29" i="19"/>
  <c r="Q29" i="19"/>
  <c r="O29" i="19"/>
  <c r="P29" i="19" s="1"/>
  <c r="N29" i="19"/>
  <c r="AF29" i="19" s="1"/>
  <c r="J29" i="19"/>
  <c r="F29" i="19"/>
  <c r="AB28" i="19"/>
  <c r="X28" i="19"/>
  <c r="S28" i="19"/>
  <c r="Q28" i="19"/>
  <c r="O28" i="19"/>
  <c r="N28" i="19"/>
  <c r="P28" i="19" s="1"/>
  <c r="J28" i="19"/>
  <c r="G28" i="19"/>
  <c r="F28" i="19"/>
  <c r="AG28" i="19" s="1"/>
  <c r="AB27" i="19"/>
  <c r="X27" i="19"/>
  <c r="Q27" i="19"/>
  <c r="N27" i="19"/>
  <c r="J27" i="19"/>
  <c r="F27" i="19"/>
  <c r="AF26" i="19"/>
  <c r="AB26" i="19"/>
  <c r="X26" i="19"/>
  <c r="Y26" i="19" s="1"/>
  <c r="Q26" i="19"/>
  <c r="N26" i="19"/>
  <c r="W26" i="19" s="1"/>
  <c r="AK26" i="19" s="1"/>
  <c r="J26" i="19"/>
  <c r="F26" i="19"/>
  <c r="AB25" i="19"/>
  <c r="X25" i="19"/>
  <c r="S25" i="19"/>
  <c r="O25" i="19"/>
  <c r="N25" i="19"/>
  <c r="J25" i="19"/>
  <c r="F25" i="19"/>
  <c r="G25" i="19" s="1"/>
  <c r="AB24" i="19"/>
  <c r="X24" i="19"/>
  <c r="W24" i="19"/>
  <c r="AK24" i="19" s="1"/>
  <c r="Q24" i="19"/>
  <c r="N24" i="19"/>
  <c r="AF24" i="19" s="1"/>
  <c r="J24" i="19"/>
  <c r="F24" i="19"/>
  <c r="AB23" i="19"/>
  <c r="X23" i="19"/>
  <c r="Q23" i="19"/>
  <c r="N23" i="19"/>
  <c r="W23" i="19" s="1"/>
  <c r="AK23" i="19" s="1"/>
  <c r="J23" i="19"/>
  <c r="F23" i="19"/>
  <c r="G23" i="19" s="1"/>
  <c r="AB22" i="19"/>
  <c r="Y22" i="19"/>
  <c r="X22" i="19"/>
  <c r="Q22" i="19"/>
  <c r="S22" i="19" s="1"/>
  <c r="O22" i="19"/>
  <c r="N22" i="19"/>
  <c r="W22" i="19" s="1"/>
  <c r="AK22" i="19" s="1"/>
  <c r="J22" i="19"/>
  <c r="F22" i="19"/>
  <c r="G22" i="19" s="1"/>
  <c r="AB21" i="19"/>
  <c r="X21" i="19"/>
  <c r="S21" i="19"/>
  <c r="Q21" i="19"/>
  <c r="O21" i="19" s="1"/>
  <c r="P21" i="19" s="1"/>
  <c r="N21" i="19"/>
  <c r="J21" i="19"/>
  <c r="F21" i="19"/>
  <c r="G21" i="19" s="1"/>
  <c r="AB20" i="19"/>
  <c r="X20" i="19"/>
  <c r="W20" i="19"/>
  <c r="AK20" i="19" s="1"/>
  <c r="S20" i="19"/>
  <c r="Q20" i="19"/>
  <c r="O20" i="19" s="1"/>
  <c r="P20" i="19" s="1"/>
  <c r="N20" i="19"/>
  <c r="AF20" i="19" s="1"/>
  <c r="J20" i="19"/>
  <c r="F20" i="19"/>
  <c r="AL19" i="19"/>
  <c r="AB19" i="19"/>
  <c r="X19" i="19"/>
  <c r="Q19" i="19"/>
  <c r="S19" i="19" s="1"/>
  <c r="O19" i="19"/>
  <c r="P19" i="19" s="1"/>
  <c r="N19" i="19"/>
  <c r="AF19" i="19" s="1"/>
  <c r="J19" i="19"/>
  <c r="F19" i="19"/>
  <c r="G19" i="19" s="1"/>
  <c r="AK18" i="19"/>
  <c r="AB18" i="19"/>
  <c r="X18" i="19"/>
  <c r="S18" i="19"/>
  <c r="Q18" i="19"/>
  <c r="O18" i="19"/>
  <c r="P18" i="19" s="1"/>
  <c r="N18" i="19"/>
  <c r="W18" i="19" s="1"/>
  <c r="Y18" i="19" s="1"/>
  <c r="J18" i="19"/>
  <c r="G18" i="19"/>
  <c r="F18" i="19"/>
  <c r="AL18" i="19" s="1"/>
  <c r="AB17" i="19"/>
  <c r="X17" i="19"/>
  <c r="S17" i="19"/>
  <c r="Q17" i="19"/>
  <c r="O17" i="19" s="1"/>
  <c r="N17" i="19"/>
  <c r="J17" i="19"/>
  <c r="F17" i="19"/>
  <c r="G17" i="19" s="1"/>
  <c r="AB16" i="19"/>
  <c r="X16" i="19"/>
  <c r="W16" i="19"/>
  <c r="AK16" i="19" s="1"/>
  <c r="S16" i="19"/>
  <c r="O16" i="19"/>
  <c r="P16" i="19" s="1"/>
  <c r="N16" i="19"/>
  <c r="AF16" i="19" s="1"/>
  <c r="J16" i="19"/>
  <c r="F16" i="19"/>
  <c r="AK15" i="19"/>
  <c r="AB15" i="19"/>
  <c r="X15" i="19"/>
  <c r="Y15" i="19" s="1"/>
  <c r="S15" i="19"/>
  <c r="Q15" i="19"/>
  <c r="O15" i="19"/>
  <c r="P15" i="19" s="1"/>
  <c r="N15" i="19"/>
  <c r="W15" i="19" s="1"/>
  <c r="J15" i="19"/>
  <c r="F15" i="19"/>
  <c r="G15" i="19" s="1"/>
  <c r="AB14" i="19"/>
  <c r="X14" i="19"/>
  <c r="S14" i="19"/>
  <c r="Q14" i="19"/>
  <c r="O14" i="19" s="1"/>
  <c r="N14" i="19"/>
  <c r="J14" i="19"/>
  <c r="F14" i="19"/>
  <c r="G14" i="19" s="1"/>
  <c r="AB13" i="19"/>
  <c r="X13" i="19"/>
  <c r="Q13" i="19"/>
  <c r="N13" i="19"/>
  <c r="AF13" i="19" s="1"/>
  <c r="J13" i="19"/>
  <c r="F13" i="19"/>
  <c r="AB12" i="19"/>
  <c r="X12" i="19"/>
  <c r="W12" i="19"/>
  <c r="AK12" i="19" s="1"/>
  <c r="S12" i="19"/>
  <c r="Q12" i="19"/>
  <c r="O12" i="19"/>
  <c r="P12" i="19" s="1"/>
  <c r="N12" i="19"/>
  <c r="AF12" i="19" s="1"/>
  <c r="J12" i="19"/>
  <c r="F12" i="19"/>
  <c r="AB11" i="19"/>
  <c r="X11" i="19"/>
  <c r="S11" i="19"/>
  <c r="Q11" i="19"/>
  <c r="O11" i="19" s="1"/>
  <c r="N11" i="19"/>
  <c r="J11" i="19"/>
  <c r="G11" i="19"/>
  <c r="F11" i="19"/>
  <c r="AG11" i="19" s="1"/>
  <c r="AF10" i="19"/>
  <c r="AB10" i="19"/>
  <c r="X10" i="19"/>
  <c r="Q10" i="19"/>
  <c r="N10" i="19"/>
  <c r="W10" i="19" s="1"/>
  <c r="AK10" i="19" s="1"/>
  <c r="J10" i="19"/>
  <c r="F10" i="19"/>
  <c r="AB9" i="19"/>
  <c r="X9" i="19"/>
  <c r="Q9" i="19"/>
  <c r="S9" i="19" s="1"/>
  <c r="N9" i="19"/>
  <c r="J9" i="19"/>
  <c r="F9" i="19"/>
  <c r="G9" i="19" s="1"/>
  <c r="AF8" i="19"/>
  <c r="AB8" i="19"/>
  <c r="X8" i="19"/>
  <c r="Q8" i="19"/>
  <c r="S8" i="19" s="1"/>
  <c r="O8" i="19"/>
  <c r="N8" i="19"/>
  <c r="W8" i="19" s="1"/>
  <c r="AK8" i="19" s="1"/>
  <c r="J8" i="19"/>
  <c r="F8" i="19"/>
  <c r="AB7" i="19"/>
  <c r="X7" i="19"/>
  <c r="Y7" i="19" s="1"/>
  <c r="S7" i="19"/>
  <c r="O7" i="19"/>
  <c r="P7" i="19" s="1"/>
  <c r="AB6" i="19"/>
  <c r="X6" i="19"/>
  <c r="Y6" i="19" s="1"/>
  <c r="B1" i="19"/>
  <c r="AI43" i="20"/>
  <c r="AD43" i="20"/>
  <c r="AI39" i="20"/>
  <c r="AD39" i="20"/>
  <c r="AB38" i="20"/>
  <c r="X38" i="20"/>
  <c r="Q38" i="20"/>
  <c r="S38" i="20" s="1"/>
  <c r="N38" i="20"/>
  <c r="J38" i="20"/>
  <c r="F38" i="20"/>
  <c r="G38" i="20" s="1"/>
  <c r="AB37" i="20"/>
  <c r="X37" i="20"/>
  <c r="W37" i="20"/>
  <c r="Q37" i="20"/>
  <c r="S37" i="20" s="1"/>
  <c r="N37" i="20"/>
  <c r="AF37" i="20" s="1"/>
  <c r="J37" i="20"/>
  <c r="F37" i="20"/>
  <c r="AB36" i="20"/>
  <c r="X36" i="20"/>
  <c r="AL36" i="20" s="1"/>
  <c r="S36" i="20"/>
  <c r="Q36" i="20"/>
  <c r="O36" i="20"/>
  <c r="P36" i="20" s="1"/>
  <c r="N36" i="20"/>
  <c r="W36" i="20" s="1"/>
  <c r="AK36" i="20" s="1"/>
  <c r="J36" i="20"/>
  <c r="G36" i="20"/>
  <c r="F36" i="20"/>
  <c r="AG36" i="20" s="1"/>
  <c r="AB35" i="20"/>
  <c r="X35" i="20"/>
  <c r="W35" i="20"/>
  <c r="AK35" i="20" s="1"/>
  <c r="Q35" i="20"/>
  <c r="S35" i="20" s="1"/>
  <c r="O35" i="20"/>
  <c r="P35" i="20" s="1"/>
  <c r="N35" i="20"/>
  <c r="AF35" i="20" s="1"/>
  <c r="J35" i="20"/>
  <c r="F35" i="20"/>
  <c r="AB34" i="20"/>
  <c r="X34" i="20"/>
  <c r="Y34" i="20" s="1"/>
  <c r="S34" i="20"/>
  <c r="Q34" i="20"/>
  <c r="P34" i="20"/>
  <c r="O34" i="20"/>
  <c r="AG34" i="20" s="1"/>
  <c r="N34" i="20"/>
  <c r="W34" i="20" s="1"/>
  <c r="AK34" i="20" s="1"/>
  <c r="J34" i="20"/>
  <c r="G34" i="20"/>
  <c r="F34" i="20"/>
  <c r="AB33" i="20"/>
  <c r="X33" i="20"/>
  <c r="W33" i="20"/>
  <c r="S33" i="20"/>
  <c r="O33" i="20"/>
  <c r="P33" i="20" s="1"/>
  <c r="N33" i="20"/>
  <c r="AF33" i="20" s="1"/>
  <c r="J33" i="20"/>
  <c r="F33" i="20"/>
  <c r="AB32" i="20"/>
  <c r="X32" i="20"/>
  <c r="Q32" i="20"/>
  <c r="S32" i="20" s="1"/>
  <c r="O32" i="20"/>
  <c r="P32" i="20" s="1"/>
  <c r="N32" i="20"/>
  <c r="AF32" i="20" s="1"/>
  <c r="J32" i="20"/>
  <c r="F32" i="20"/>
  <c r="AF31" i="20"/>
  <c r="AB31" i="20"/>
  <c r="X31" i="20"/>
  <c r="Y31" i="20" s="1"/>
  <c r="S31" i="20"/>
  <c r="Q31" i="20"/>
  <c r="O31" i="20" s="1"/>
  <c r="P31" i="20"/>
  <c r="N31" i="20"/>
  <c r="W31" i="20" s="1"/>
  <c r="AK31" i="20" s="1"/>
  <c r="J31" i="20"/>
  <c r="F31" i="20"/>
  <c r="AB30" i="20"/>
  <c r="X30" i="20"/>
  <c r="AL30" i="20" s="1"/>
  <c r="S30" i="20"/>
  <c r="O30" i="20"/>
  <c r="N30" i="20"/>
  <c r="J30" i="20"/>
  <c r="F30" i="20"/>
  <c r="AG30" i="20" s="1"/>
  <c r="AB29" i="20"/>
  <c r="X29" i="20"/>
  <c r="W29" i="20"/>
  <c r="Q29" i="20"/>
  <c r="S29" i="20" s="1"/>
  <c r="O29" i="20"/>
  <c r="N29" i="20"/>
  <c r="AF29" i="20" s="1"/>
  <c r="J29" i="20"/>
  <c r="F29" i="20"/>
  <c r="AG29" i="20" s="1"/>
  <c r="AL28" i="20"/>
  <c r="AF28" i="20"/>
  <c r="AB28" i="20"/>
  <c r="X28" i="20"/>
  <c r="S28" i="20"/>
  <c r="Q28" i="20"/>
  <c r="P28" i="20"/>
  <c r="O28" i="20"/>
  <c r="N28" i="20"/>
  <c r="W28" i="20" s="1"/>
  <c r="AK28" i="20" s="1"/>
  <c r="J28" i="20"/>
  <c r="F28" i="20"/>
  <c r="AG28" i="20" s="1"/>
  <c r="AL27" i="20"/>
  <c r="AB27" i="20"/>
  <c r="X27" i="20"/>
  <c r="W27" i="20"/>
  <c r="Q27" i="20"/>
  <c r="S27" i="20" s="1"/>
  <c r="O27" i="20"/>
  <c r="N27" i="20"/>
  <c r="AF27" i="20" s="1"/>
  <c r="J27" i="20"/>
  <c r="F27" i="20"/>
  <c r="G27" i="20" s="1"/>
  <c r="AB26" i="20"/>
  <c r="X26" i="20"/>
  <c r="AL26" i="20" s="1"/>
  <c r="S26" i="20"/>
  <c r="Q26" i="20"/>
  <c r="O26" i="20" s="1"/>
  <c r="N26" i="20"/>
  <c r="J26" i="20"/>
  <c r="G26" i="20"/>
  <c r="F26" i="20"/>
  <c r="AG26" i="20" s="1"/>
  <c r="AF25" i="20"/>
  <c r="AB25" i="20"/>
  <c r="X25" i="20"/>
  <c r="S25" i="20"/>
  <c r="O25" i="20"/>
  <c r="P25" i="20" s="1"/>
  <c r="N25" i="20"/>
  <c r="W25" i="20" s="1"/>
  <c r="AK25" i="20" s="1"/>
  <c r="J25" i="20"/>
  <c r="F25" i="20"/>
  <c r="AL25" i="20" s="1"/>
  <c r="AF24" i="20"/>
  <c r="AB24" i="20"/>
  <c r="X24" i="20"/>
  <c r="W24" i="20"/>
  <c r="Q24" i="20"/>
  <c r="S24" i="20" s="1"/>
  <c r="O24" i="20"/>
  <c r="P24" i="20" s="1"/>
  <c r="N24" i="20"/>
  <c r="J24" i="20"/>
  <c r="F24" i="20"/>
  <c r="AB23" i="20"/>
  <c r="X23" i="20"/>
  <c r="S23" i="20"/>
  <c r="Q23" i="20"/>
  <c r="O23" i="20" s="1"/>
  <c r="P23" i="20" s="1"/>
  <c r="N23" i="20"/>
  <c r="J23" i="20"/>
  <c r="F23" i="20"/>
  <c r="AB22" i="20"/>
  <c r="X22" i="20"/>
  <c r="Q22" i="20"/>
  <c r="N22" i="20"/>
  <c r="J22" i="20"/>
  <c r="F22" i="20"/>
  <c r="AB21" i="20"/>
  <c r="X21" i="20"/>
  <c r="Q21" i="20"/>
  <c r="S21" i="20" s="1"/>
  <c r="N21" i="20"/>
  <c r="J21" i="20"/>
  <c r="F21" i="20"/>
  <c r="G21" i="20" s="1"/>
  <c r="AB20" i="20"/>
  <c r="X20" i="20"/>
  <c r="Y20" i="20" s="1"/>
  <c r="Q20" i="20"/>
  <c r="S20" i="20" s="1"/>
  <c r="O20" i="20"/>
  <c r="N20" i="20"/>
  <c r="W20" i="20" s="1"/>
  <c r="AK20" i="20" s="1"/>
  <c r="J20" i="20"/>
  <c r="F20" i="20"/>
  <c r="AG19" i="20"/>
  <c r="AB19" i="20"/>
  <c r="X19" i="20"/>
  <c r="S19" i="20"/>
  <c r="Q19" i="20"/>
  <c r="O19" i="20"/>
  <c r="N19" i="20"/>
  <c r="W19" i="20" s="1"/>
  <c r="AK19" i="20" s="1"/>
  <c r="J19" i="20"/>
  <c r="G19" i="20"/>
  <c r="F19" i="20"/>
  <c r="AB18" i="20"/>
  <c r="X18" i="20"/>
  <c r="W18" i="20"/>
  <c r="AK18" i="20" s="1"/>
  <c r="Q18" i="20"/>
  <c r="S18" i="20" s="1"/>
  <c r="O18" i="20"/>
  <c r="P18" i="20" s="1"/>
  <c r="N18" i="20"/>
  <c r="AF18" i="20" s="1"/>
  <c r="J18" i="20"/>
  <c r="F18" i="20"/>
  <c r="AG18" i="20" s="1"/>
  <c r="AB17" i="20"/>
  <c r="X17" i="20"/>
  <c r="S17" i="20"/>
  <c r="Q17" i="20"/>
  <c r="O17" i="20"/>
  <c r="AG17" i="20" s="1"/>
  <c r="N17" i="20"/>
  <c r="J17" i="20"/>
  <c r="F17" i="20"/>
  <c r="AL17" i="20" s="1"/>
  <c r="AB16" i="20"/>
  <c r="X16" i="20"/>
  <c r="AL16" i="20" s="1"/>
  <c r="W16" i="20"/>
  <c r="S16" i="20"/>
  <c r="O16" i="20"/>
  <c r="N16" i="20"/>
  <c r="AF16" i="20" s="1"/>
  <c r="J16" i="20"/>
  <c r="F16" i="20"/>
  <c r="AG16" i="20" s="1"/>
  <c r="AB15" i="20"/>
  <c r="X15" i="20"/>
  <c r="Q15" i="20"/>
  <c r="S15" i="20" s="1"/>
  <c r="O15" i="20"/>
  <c r="P15" i="20" s="1"/>
  <c r="N15" i="20"/>
  <c r="AF15" i="20" s="1"/>
  <c r="J15" i="20"/>
  <c r="F15" i="20"/>
  <c r="AL14" i="20"/>
  <c r="AG14" i="20"/>
  <c r="AB14" i="20"/>
  <c r="X14" i="20"/>
  <c r="S14" i="20"/>
  <c r="Q14" i="20"/>
  <c r="O14" i="20"/>
  <c r="P14" i="20" s="1"/>
  <c r="N14" i="20"/>
  <c r="J14" i="20"/>
  <c r="F14" i="20"/>
  <c r="G14" i="20" s="1"/>
  <c r="AB13" i="20"/>
  <c r="X13" i="20"/>
  <c r="AL13" i="20" s="1"/>
  <c r="W13" i="20"/>
  <c r="Q13" i="20"/>
  <c r="S13" i="20" s="1"/>
  <c r="O13" i="20"/>
  <c r="N13" i="20"/>
  <c r="AF13" i="20" s="1"/>
  <c r="J13" i="20"/>
  <c r="F13" i="20"/>
  <c r="G13" i="20" s="1"/>
  <c r="AB12" i="20"/>
  <c r="X12" i="20"/>
  <c r="S12" i="20"/>
  <c r="Q12" i="20"/>
  <c r="O12" i="20" s="1"/>
  <c r="P12" i="20"/>
  <c r="N12" i="20"/>
  <c r="J12" i="20"/>
  <c r="F12" i="20"/>
  <c r="AF11" i="20"/>
  <c r="AB11" i="20"/>
  <c r="X11" i="20"/>
  <c r="W11" i="20"/>
  <c r="AK11" i="20" s="1"/>
  <c r="Q11" i="20"/>
  <c r="N11" i="20"/>
  <c r="J11" i="20"/>
  <c r="F11" i="20"/>
  <c r="AB10" i="20"/>
  <c r="X10" i="20"/>
  <c r="Q10" i="20"/>
  <c r="S10" i="20" s="1"/>
  <c r="N10" i="20"/>
  <c r="J10" i="20"/>
  <c r="F10" i="20"/>
  <c r="G10" i="20" s="1"/>
  <c r="AB9" i="20"/>
  <c r="Y9" i="20"/>
  <c r="X9" i="20"/>
  <c r="Q9" i="20"/>
  <c r="S9" i="20" s="1"/>
  <c r="N9" i="20"/>
  <c r="W9" i="20" s="1"/>
  <c r="AK9" i="20" s="1"/>
  <c r="J9" i="20"/>
  <c r="F9" i="20"/>
  <c r="AB8" i="20"/>
  <c r="X8" i="20"/>
  <c r="S8" i="20"/>
  <c r="Q8" i="20"/>
  <c r="O8" i="20"/>
  <c r="P8" i="20" s="1"/>
  <c r="N8" i="20"/>
  <c r="J8" i="20"/>
  <c r="F8" i="20"/>
  <c r="AB7" i="20"/>
  <c r="X7" i="20"/>
  <c r="Y7" i="20" s="1"/>
  <c r="S7" i="20"/>
  <c r="O7" i="20"/>
  <c r="P7" i="20" s="1"/>
  <c r="AB6" i="20"/>
  <c r="X6" i="20"/>
  <c r="Y6" i="20" s="1"/>
  <c r="B1" i="20"/>
  <c r="L7" i="20" s="1"/>
  <c r="L8" i="20" s="1"/>
  <c r="L9" i="20" s="1"/>
  <c r="L10" i="20" s="1"/>
  <c r="L11" i="20" s="1"/>
  <c r="L12" i="20" s="1"/>
  <c r="L13" i="20" s="1"/>
  <c r="L14" i="20" s="1"/>
  <c r="L15" i="20" s="1"/>
  <c r="L16" i="20" s="1"/>
  <c r="L17" i="20" s="1"/>
  <c r="L18" i="20" s="1"/>
  <c r="L19" i="20" s="1"/>
  <c r="L20" i="20" s="1"/>
  <c r="L21" i="20" s="1"/>
  <c r="L22" i="20" s="1"/>
  <c r="L23" i="20" s="1"/>
  <c r="L24" i="20" s="1"/>
  <c r="L25" i="20" s="1"/>
  <c r="L26" i="20" s="1"/>
  <c r="L27" i="20" s="1"/>
  <c r="L28" i="20" s="1"/>
  <c r="L29" i="20" s="1"/>
  <c r="L30" i="20" s="1"/>
  <c r="L31" i="20" s="1"/>
  <c r="L32" i="20" s="1"/>
  <c r="L33" i="20" s="1"/>
  <c r="L34" i="20" s="1"/>
  <c r="L35" i="20" s="1"/>
  <c r="L36" i="20" s="1"/>
  <c r="L37" i="20" s="1"/>
  <c r="L38" i="20" s="1"/>
  <c r="AI43" i="21"/>
  <c r="AD43" i="21"/>
  <c r="AI39" i="21"/>
  <c r="AD39" i="21"/>
  <c r="AB38" i="21"/>
  <c r="X38" i="21"/>
  <c r="Q38" i="21"/>
  <c r="S38" i="21" s="1"/>
  <c r="N38" i="21"/>
  <c r="W38" i="21" s="1"/>
  <c r="J38" i="21"/>
  <c r="F38" i="21"/>
  <c r="AG37" i="21"/>
  <c r="AB37" i="21"/>
  <c r="X37" i="21"/>
  <c r="Y37" i="21" s="1"/>
  <c r="S37" i="21"/>
  <c r="Q37" i="21"/>
  <c r="O37" i="21"/>
  <c r="P37" i="21" s="1"/>
  <c r="N37" i="21"/>
  <c r="W37" i="21" s="1"/>
  <c r="AK37" i="21" s="1"/>
  <c r="J37" i="21"/>
  <c r="G37" i="21"/>
  <c r="F37" i="21"/>
  <c r="AB36" i="21"/>
  <c r="X36" i="21"/>
  <c r="W36" i="21"/>
  <c r="Q36" i="21"/>
  <c r="S36" i="21" s="1"/>
  <c r="O36" i="21"/>
  <c r="N36" i="21"/>
  <c r="AF36" i="21" s="1"/>
  <c r="J36" i="21"/>
  <c r="F36" i="21"/>
  <c r="AG35" i="21"/>
  <c r="AF35" i="21"/>
  <c r="AB35" i="21"/>
  <c r="X35" i="21"/>
  <c r="S35" i="21"/>
  <c r="Q35" i="21"/>
  <c r="O35" i="21"/>
  <c r="P35" i="21" s="1"/>
  <c r="N35" i="21"/>
  <c r="W35" i="21" s="1"/>
  <c r="AK35" i="21" s="1"/>
  <c r="J35" i="21"/>
  <c r="F35" i="21"/>
  <c r="G35" i="21" s="1"/>
  <c r="AB34" i="21"/>
  <c r="X34" i="21"/>
  <c r="AL34" i="21" s="1"/>
  <c r="W34" i="21"/>
  <c r="Q34" i="21"/>
  <c r="S34" i="21" s="1"/>
  <c r="O34" i="21"/>
  <c r="N34" i="21"/>
  <c r="AF34" i="21" s="1"/>
  <c r="J34" i="21"/>
  <c r="F34" i="21"/>
  <c r="G34" i="21" s="1"/>
  <c r="AF33" i="21"/>
  <c r="AB33" i="21"/>
  <c r="X33" i="21"/>
  <c r="S33" i="21"/>
  <c r="O33" i="21"/>
  <c r="P33" i="21" s="1"/>
  <c r="N33" i="21"/>
  <c r="W33" i="21" s="1"/>
  <c r="AK33" i="21" s="1"/>
  <c r="J33" i="21"/>
  <c r="F33" i="21"/>
  <c r="AL32" i="21"/>
  <c r="AB32" i="21"/>
  <c r="X32" i="21"/>
  <c r="S32" i="21"/>
  <c r="Q32" i="21"/>
  <c r="O32" i="21" s="1"/>
  <c r="AG32" i="21" s="1"/>
  <c r="N32" i="21"/>
  <c r="AF32" i="21" s="1"/>
  <c r="J32" i="21"/>
  <c r="G32" i="21"/>
  <c r="F32" i="21"/>
  <c r="AB31" i="21"/>
  <c r="X31" i="21"/>
  <c r="AL31" i="21" s="1"/>
  <c r="Q31" i="21"/>
  <c r="S31" i="21" s="1"/>
  <c r="O31" i="21"/>
  <c r="P31" i="21" s="1"/>
  <c r="N31" i="21"/>
  <c r="J31" i="21"/>
  <c r="F31" i="21"/>
  <c r="G31" i="21" s="1"/>
  <c r="AF30" i="21"/>
  <c r="AB30" i="21"/>
  <c r="X30" i="21"/>
  <c r="S30" i="21"/>
  <c r="O30" i="21"/>
  <c r="P30" i="21" s="1"/>
  <c r="N30" i="21"/>
  <c r="W30" i="21" s="1"/>
  <c r="AK30" i="21" s="1"/>
  <c r="J30" i="21"/>
  <c r="F30" i="21"/>
  <c r="AB29" i="21"/>
  <c r="X29" i="21"/>
  <c r="W29" i="21"/>
  <c r="AK29" i="21" s="1"/>
  <c r="S29" i="21"/>
  <c r="Q29" i="21"/>
  <c r="O29" i="21" s="1"/>
  <c r="N29" i="21"/>
  <c r="AF29" i="21" s="1"/>
  <c r="J29" i="21"/>
  <c r="F29" i="21"/>
  <c r="G29" i="21" s="1"/>
  <c r="AF28" i="21"/>
  <c r="AB28" i="21"/>
  <c r="X28" i="21"/>
  <c r="Q28" i="21"/>
  <c r="S28" i="21" s="1"/>
  <c r="O28" i="21"/>
  <c r="P28" i="21" s="1"/>
  <c r="N28" i="21"/>
  <c r="W28" i="21" s="1"/>
  <c r="J28" i="21"/>
  <c r="F28" i="21"/>
  <c r="G28" i="21" s="1"/>
  <c r="AB27" i="21"/>
  <c r="X27" i="21"/>
  <c r="S27" i="21"/>
  <c r="Q27" i="21"/>
  <c r="O27" i="21" s="1"/>
  <c r="P27" i="21" s="1"/>
  <c r="N27" i="21"/>
  <c r="J27" i="21"/>
  <c r="G27" i="21"/>
  <c r="F27" i="21"/>
  <c r="AG27" i="21" s="1"/>
  <c r="AB26" i="21"/>
  <c r="X26" i="21"/>
  <c r="Y26" i="21" s="1"/>
  <c r="W26" i="21"/>
  <c r="AK26" i="21" s="1"/>
  <c r="Q26" i="21"/>
  <c r="N26" i="21"/>
  <c r="AF26" i="21" s="1"/>
  <c r="J26" i="21"/>
  <c r="F26" i="21"/>
  <c r="AB25" i="21"/>
  <c r="X25" i="21"/>
  <c r="S25" i="21"/>
  <c r="O25" i="21"/>
  <c r="P25" i="21" s="1"/>
  <c r="N25" i="21"/>
  <c r="AF25" i="21" s="1"/>
  <c r="J25" i="21"/>
  <c r="F25" i="21"/>
  <c r="AB24" i="21"/>
  <c r="X24" i="21"/>
  <c r="S24" i="21"/>
  <c r="Q24" i="21"/>
  <c r="O24" i="21" s="1"/>
  <c r="P24" i="21" s="1"/>
  <c r="N24" i="21"/>
  <c r="J24" i="21"/>
  <c r="F24" i="21"/>
  <c r="AG24" i="21" s="1"/>
  <c r="AB23" i="21"/>
  <c r="X23" i="21"/>
  <c r="Q23" i="21"/>
  <c r="N23" i="21"/>
  <c r="J23" i="21"/>
  <c r="F23" i="21"/>
  <c r="AB22" i="21"/>
  <c r="X22" i="21"/>
  <c r="S22" i="21"/>
  <c r="Q22" i="21"/>
  <c r="O22" i="21"/>
  <c r="AG22" i="21" s="1"/>
  <c r="N22" i="21"/>
  <c r="J22" i="21"/>
  <c r="G22" i="21"/>
  <c r="F22" i="21"/>
  <c r="AB21" i="21"/>
  <c r="X21" i="21"/>
  <c r="Q21" i="21"/>
  <c r="S21" i="21" s="1"/>
  <c r="N21" i="21"/>
  <c r="W21" i="21" s="1"/>
  <c r="AK21" i="21" s="1"/>
  <c r="J21" i="21"/>
  <c r="F21" i="21"/>
  <c r="AB20" i="21"/>
  <c r="X20" i="21"/>
  <c r="S20" i="21"/>
  <c r="Q20" i="21"/>
  <c r="O20" i="21" s="1"/>
  <c r="AG20" i="21" s="1"/>
  <c r="N20" i="21"/>
  <c r="J20" i="21"/>
  <c r="F20" i="21"/>
  <c r="AL20" i="21" s="1"/>
  <c r="AB19" i="21"/>
  <c r="X19" i="21"/>
  <c r="Y19" i="21" s="1"/>
  <c r="W19" i="21"/>
  <c r="AK19" i="21" s="1"/>
  <c r="Q19" i="21"/>
  <c r="S19" i="21" s="1"/>
  <c r="O19" i="21"/>
  <c r="N19" i="21"/>
  <c r="AF19" i="21" s="1"/>
  <c r="J19" i="21"/>
  <c r="F19" i="21"/>
  <c r="AB18" i="21"/>
  <c r="X18" i="21"/>
  <c r="Y18" i="21" s="1"/>
  <c r="S18" i="21"/>
  <c r="Q18" i="21"/>
  <c r="O18" i="21" s="1"/>
  <c r="P18" i="21"/>
  <c r="N18" i="21"/>
  <c r="W18" i="21" s="1"/>
  <c r="AK18" i="21" s="1"/>
  <c r="J18" i="21"/>
  <c r="F18" i="21"/>
  <c r="AF17" i="21"/>
  <c r="AB17" i="21"/>
  <c r="X17" i="21"/>
  <c r="W17" i="21"/>
  <c r="AK17" i="21" s="1"/>
  <c r="Q17" i="21"/>
  <c r="S17" i="21" s="1"/>
  <c r="O17" i="21"/>
  <c r="P17" i="21" s="1"/>
  <c r="N17" i="21"/>
  <c r="J17" i="21"/>
  <c r="F17" i="21"/>
  <c r="G17" i="21" s="1"/>
  <c r="AB16" i="21"/>
  <c r="X16" i="21"/>
  <c r="Y16" i="21" s="1"/>
  <c r="S16" i="21"/>
  <c r="O16" i="21"/>
  <c r="P16" i="21" s="1"/>
  <c r="N16" i="21"/>
  <c r="W16" i="21" s="1"/>
  <c r="AK16" i="21" s="1"/>
  <c r="J16" i="21"/>
  <c r="F16" i="21"/>
  <c r="AL16" i="21" s="1"/>
  <c r="AB15" i="21"/>
  <c r="X15" i="21"/>
  <c r="S15" i="21"/>
  <c r="Q15" i="21"/>
  <c r="O15" i="21" s="1"/>
  <c r="AG15" i="21" s="1"/>
  <c r="N15" i="21"/>
  <c r="J15" i="21"/>
  <c r="G15" i="21"/>
  <c r="F15" i="21"/>
  <c r="AL15" i="21" s="1"/>
  <c r="AF14" i="21"/>
  <c r="AB14" i="21"/>
  <c r="X14" i="21"/>
  <c r="Q14" i="21"/>
  <c r="S14" i="21" s="1"/>
  <c r="O14" i="21"/>
  <c r="P14" i="21" s="1"/>
  <c r="N14" i="21"/>
  <c r="W14" i="21" s="1"/>
  <c r="AK14" i="21" s="1"/>
  <c r="J14" i="21"/>
  <c r="F14" i="21"/>
  <c r="G14" i="21" s="1"/>
  <c r="AB13" i="21"/>
  <c r="X13" i="21"/>
  <c r="S13" i="21"/>
  <c r="Q13" i="21"/>
  <c r="O13" i="21" s="1"/>
  <c r="N13" i="21"/>
  <c r="J13" i="21"/>
  <c r="F13" i="21"/>
  <c r="G13" i="21" s="1"/>
  <c r="AF12" i="21"/>
  <c r="AB12" i="21"/>
  <c r="X12" i="21"/>
  <c r="W12" i="21"/>
  <c r="Q12" i="21"/>
  <c r="N12" i="21"/>
  <c r="J12" i="21"/>
  <c r="F12" i="21"/>
  <c r="AG11" i="21"/>
  <c r="AB11" i="21"/>
  <c r="X11" i="21"/>
  <c r="S11" i="21"/>
  <c r="Q11" i="21"/>
  <c r="O11" i="21"/>
  <c r="N11" i="21"/>
  <c r="J11" i="21"/>
  <c r="G11" i="21"/>
  <c r="F11" i="21"/>
  <c r="AF10" i="21"/>
  <c r="AB10" i="21"/>
  <c r="X10" i="21"/>
  <c r="Y10" i="21" s="1"/>
  <c r="W10" i="21"/>
  <c r="AK10" i="21" s="1"/>
  <c r="Q10" i="21"/>
  <c r="S10" i="21" s="1"/>
  <c r="O10" i="21"/>
  <c r="N10" i="21"/>
  <c r="J10" i="21"/>
  <c r="F10" i="21"/>
  <c r="AB9" i="21"/>
  <c r="X9" i="21"/>
  <c r="S9" i="21"/>
  <c r="Q9" i="21"/>
  <c r="O9" i="21" s="1"/>
  <c r="P9" i="21" s="1"/>
  <c r="N9" i="21"/>
  <c r="J9" i="21"/>
  <c r="G9" i="21"/>
  <c r="F9" i="21"/>
  <c r="AG9" i="21" s="1"/>
  <c r="AB8" i="21"/>
  <c r="X8" i="21"/>
  <c r="Q8" i="21"/>
  <c r="S8" i="21" s="1"/>
  <c r="N8" i="21"/>
  <c r="J8" i="21"/>
  <c r="F8" i="21"/>
  <c r="AB7" i="21"/>
  <c r="X7" i="21"/>
  <c r="Y7" i="21" s="1"/>
  <c r="S7" i="21"/>
  <c r="O7" i="21"/>
  <c r="P7" i="21" s="1"/>
  <c r="AB6" i="21"/>
  <c r="Y6" i="21"/>
  <c r="X6" i="21"/>
  <c r="B1" i="21"/>
  <c r="AI43" i="22"/>
  <c r="AD43" i="22"/>
  <c r="AI39" i="22"/>
  <c r="AD39" i="22"/>
  <c r="AB38" i="22"/>
  <c r="X38" i="22"/>
  <c r="S38" i="22"/>
  <c r="Q38" i="22"/>
  <c r="O38" i="22" s="1"/>
  <c r="N38" i="22"/>
  <c r="J38" i="22"/>
  <c r="G38" i="22"/>
  <c r="F38" i="22"/>
  <c r="AF37" i="22"/>
  <c r="AB37" i="22"/>
  <c r="X37" i="22"/>
  <c r="W37" i="22"/>
  <c r="Y37" i="22" s="1"/>
  <c r="Q37" i="22"/>
  <c r="S37" i="22" s="1"/>
  <c r="O37" i="22"/>
  <c r="P37" i="22" s="1"/>
  <c r="N37" i="22"/>
  <c r="J37" i="22"/>
  <c r="F37" i="22"/>
  <c r="AL36" i="22"/>
  <c r="AB36" i="22"/>
  <c r="X36" i="22"/>
  <c r="S36" i="22"/>
  <c r="Q36" i="22"/>
  <c r="O36" i="22"/>
  <c r="P36" i="22" s="1"/>
  <c r="N36" i="22"/>
  <c r="W36" i="22" s="1"/>
  <c r="AK36" i="22" s="1"/>
  <c r="J36" i="22"/>
  <c r="F36" i="22"/>
  <c r="AG36" i="22" s="1"/>
  <c r="AB35" i="22"/>
  <c r="X35" i="22"/>
  <c r="W35" i="22"/>
  <c r="Q35" i="22"/>
  <c r="S35" i="22" s="1"/>
  <c r="O35" i="22"/>
  <c r="N35" i="22"/>
  <c r="AF35" i="22" s="1"/>
  <c r="J35" i="22"/>
  <c r="F35" i="22"/>
  <c r="G35" i="22" s="1"/>
  <c r="AB34" i="22"/>
  <c r="X34" i="22"/>
  <c r="AL34" i="22" s="1"/>
  <c r="S34" i="22"/>
  <c r="Q34" i="22"/>
  <c r="O34" i="22" s="1"/>
  <c r="P34" i="22" s="1"/>
  <c r="N34" i="22"/>
  <c r="J34" i="22"/>
  <c r="G34" i="22"/>
  <c r="F34" i="22"/>
  <c r="AG34" i="22" s="1"/>
  <c r="AG33" i="22"/>
  <c r="AB33" i="22"/>
  <c r="X33" i="22"/>
  <c r="S33" i="22"/>
  <c r="O33" i="22"/>
  <c r="N33" i="22"/>
  <c r="W33" i="22" s="1"/>
  <c r="J33" i="22"/>
  <c r="F33" i="22"/>
  <c r="AL33" i="22" s="1"/>
  <c r="AB32" i="22"/>
  <c r="X32" i="22"/>
  <c r="Y32" i="22" s="1"/>
  <c r="W32" i="22"/>
  <c r="AK32" i="22" s="1"/>
  <c r="Q32" i="22"/>
  <c r="S32" i="22" s="1"/>
  <c r="O32" i="22"/>
  <c r="N32" i="22"/>
  <c r="AF32" i="22" s="1"/>
  <c r="J32" i="22"/>
  <c r="F32" i="22"/>
  <c r="G32" i="22" s="1"/>
  <c r="AB31" i="22"/>
  <c r="X31" i="22"/>
  <c r="S31" i="22"/>
  <c r="Q31" i="22"/>
  <c r="O31" i="22" s="1"/>
  <c r="N31" i="22"/>
  <c r="J31" i="22"/>
  <c r="F31" i="22"/>
  <c r="AG31" i="22" s="1"/>
  <c r="AG30" i="22"/>
  <c r="AB30" i="22"/>
  <c r="X30" i="22"/>
  <c r="S30" i="22"/>
  <c r="O30" i="22"/>
  <c r="N30" i="22"/>
  <c r="W30" i="22" s="1"/>
  <c r="J30" i="22"/>
  <c r="G30" i="22"/>
  <c r="F30" i="22"/>
  <c r="AL30" i="22" s="1"/>
  <c r="AF29" i="22"/>
  <c r="AB29" i="22"/>
  <c r="X29" i="22"/>
  <c r="Q29" i="22"/>
  <c r="S29" i="22" s="1"/>
  <c r="O29" i="22"/>
  <c r="P29" i="22" s="1"/>
  <c r="N29" i="22"/>
  <c r="W29" i="22" s="1"/>
  <c r="AK29" i="22" s="1"/>
  <c r="J29" i="22"/>
  <c r="F29" i="22"/>
  <c r="G29" i="22" s="1"/>
  <c r="AB28" i="22"/>
  <c r="X28" i="22"/>
  <c r="S28" i="22"/>
  <c r="Q28" i="22"/>
  <c r="O28" i="22" s="1"/>
  <c r="P28" i="22"/>
  <c r="N28" i="22"/>
  <c r="J28" i="22"/>
  <c r="G28" i="22"/>
  <c r="F28" i="22"/>
  <c r="AB27" i="22"/>
  <c r="X27" i="22"/>
  <c r="W27" i="22"/>
  <c r="Q27" i="22"/>
  <c r="N27" i="22"/>
  <c r="AF27" i="22" s="1"/>
  <c r="J27" i="22"/>
  <c r="F27" i="22"/>
  <c r="AB26" i="22"/>
  <c r="X26" i="22"/>
  <c r="S26" i="22"/>
  <c r="Q26" i="22"/>
  <c r="O26" i="22"/>
  <c r="N26" i="22"/>
  <c r="J26" i="22"/>
  <c r="F26" i="22"/>
  <c r="AB25" i="22"/>
  <c r="X25" i="22"/>
  <c r="Y25" i="22" s="1"/>
  <c r="S25" i="22"/>
  <c r="O25" i="22"/>
  <c r="N25" i="22"/>
  <c r="W25" i="22" s="1"/>
  <c r="AK25" i="22" s="1"/>
  <c r="J25" i="22"/>
  <c r="F25" i="22"/>
  <c r="AG25" i="22" s="1"/>
  <c r="AF24" i="22"/>
  <c r="AB24" i="22"/>
  <c r="X24" i="22"/>
  <c r="W24" i="22"/>
  <c r="Q24" i="22"/>
  <c r="N24" i="22"/>
  <c r="J24" i="22"/>
  <c r="F24" i="22"/>
  <c r="F24" i="3" s="1"/>
  <c r="AB23" i="22"/>
  <c r="X23" i="22"/>
  <c r="S23" i="22"/>
  <c r="Q23" i="22"/>
  <c r="O23" i="22"/>
  <c r="P23" i="22" s="1"/>
  <c r="N23" i="22"/>
  <c r="J23" i="22"/>
  <c r="G23" i="22"/>
  <c r="F23" i="22"/>
  <c r="AL23" i="22" s="1"/>
  <c r="AB22" i="22"/>
  <c r="X22" i="22"/>
  <c r="Q22" i="22"/>
  <c r="S22" i="22" s="1"/>
  <c r="O22" i="22"/>
  <c r="P22" i="22" s="1"/>
  <c r="N22" i="22"/>
  <c r="W22" i="22" s="1"/>
  <c r="AK22" i="22" s="1"/>
  <c r="J22" i="22"/>
  <c r="F22" i="22"/>
  <c r="AG21" i="22"/>
  <c r="AB21" i="22"/>
  <c r="X21" i="22"/>
  <c r="S21" i="22"/>
  <c r="Q21" i="22"/>
  <c r="O21" i="22"/>
  <c r="N21" i="22"/>
  <c r="J21" i="22"/>
  <c r="G21" i="22"/>
  <c r="F21" i="22"/>
  <c r="AB20" i="22"/>
  <c r="X20" i="22"/>
  <c r="Q20" i="22"/>
  <c r="S20" i="22" s="1"/>
  <c r="N20" i="22"/>
  <c r="J20" i="22"/>
  <c r="F20" i="22"/>
  <c r="AL19" i="22"/>
  <c r="AG19" i="22"/>
  <c r="AB19" i="22"/>
  <c r="X19" i="22"/>
  <c r="S19" i="22"/>
  <c r="Q19" i="22"/>
  <c r="O19" i="22"/>
  <c r="N19" i="22"/>
  <c r="W19" i="22" s="1"/>
  <c r="J19" i="22"/>
  <c r="G19" i="22"/>
  <c r="F19" i="22"/>
  <c r="AF18" i="22"/>
  <c r="AB18" i="22"/>
  <c r="X18" i="22"/>
  <c r="S18" i="22"/>
  <c r="Q18" i="22"/>
  <c r="O18" i="22"/>
  <c r="P18" i="22" s="1"/>
  <c r="N18" i="22"/>
  <c r="W18" i="22" s="1"/>
  <c r="Y18" i="22" s="1"/>
  <c r="J18" i="22"/>
  <c r="G18" i="22"/>
  <c r="F18" i="22"/>
  <c r="AL18" i="22" s="1"/>
  <c r="AB17" i="22"/>
  <c r="X17" i="22"/>
  <c r="S17" i="22"/>
  <c r="Q17" i="22"/>
  <c r="O17" i="22"/>
  <c r="N17" i="22"/>
  <c r="J17" i="22"/>
  <c r="F17" i="22"/>
  <c r="AB16" i="22"/>
  <c r="X16" i="22"/>
  <c r="W16" i="22"/>
  <c r="AK16" i="22" s="1"/>
  <c r="S16" i="22"/>
  <c r="O16" i="22"/>
  <c r="P16" i="22" s="1"/>
  <c r="N16" i="22"/>
  <c r="AF16" i="22" s="1"/>
  <c r="J16" i="22"/>
  <c r="F16" i="22"/>
  <c r="AB15" i="22"/>
  <c r="X15" i="22"/>
  <c r="S15" i="22"/>
  <c r="Q15" i="22"/>
  <c r="O15" i="22"/>
  <c r="N15" i="22"/>
  <c r="J15" i="22"/>
  <c r="F15" i="22"/>
  <c r="AL15" i="22" s="1"/>
  <c r="AL14" i="22"/>
  <c r="AB14" i="22"/>
  <c r="X14" i="22"/>
  <c r="S14" i="22"/>
  <c r="Q14" i="22"/>
  <c r="O14" i="22"/>
  <c r="N14" i="22"/>
  <c r="J14" i="22"/>
  <c r="G14" i="22"/>
  <c r="F14" i="22"/>
  <c r="AB13" i="22"/>
  <c r="X13" i="22"/>
  <c r="Q13" i="22"/>
  <c r="N13" i="22"/>
  <c r="W13" i="22" s="1"/>
  <c r="AK13" i="22" s="1"/>
  <c r="J13" i="22"/>
  <c r="F13" i="22"/>
  <c r="AB12" i="22"/>
  <c r="X12" i="22"/>
  <c r="Q12" i="22"/>
  <c r="S12" i="22" s="1"/>
  <c r="N12" i="22"/>
  <c r="J12" i="22"/>
  <c r="F12" i="22"/>
  <c r="G12" i="22" s="1"/>
  <c r="AB11" i="22"/>
  <c r="X11" i="22"/>
  <c r="Y11" i="22" s="1"/>
  <c r="Q11" i="22"/>
  <c r="S11" i="22" s="1"/>
  <c r="O11" i="22"/>
  <c r="N11" i="22"/>
  <c r="W11" i="22" s="1"/>
  <c r="AK11" i="22" s="1"/>
  <c r="J11" i="22"/>
  <c r="F11" i="22"/>
  <c r="AB10" i="22"/>
  <c r="X10" i="22"/>
  <c r="S10" i="22"/>
  <c r="Q10" i="22"/>
  <c r="O10" i="22" s="1"/>
  <c r="N10" i="22"/>
  <c r="J10" i="22"/>
  <c r="G10" i="22"/>
  <c r="F10" i="22"/>
  <c r="AB9" i="22"/>
  <c r="X9" i="22"/>
  <c r="Q9" i="22"/>
  <c r="S9" i="22" s="1"/>
  <c r="O9" i="22"/>
  <c r="P9" i="22" s="1"/>
  <c r="N9" i="22"/>
  <c r="AF9" i="22" s="1"/>
  <c r="J9" i="22"/>
  <c r="F9" i="22"/>
  <c r="AL8" i="22"/>
  <c r="AG8" i="22"/>
  <c r="AB8" i="22"/>
  <c r="X8" i="22"/>
  <c r="S8" i="22"/>
  <c r="Q8" i="22"/>
  <c r="O8" i="22"/>
  <c r="N8" i="22"/>
  <c r="J8" i="22"/>
  <c r="G8" i="22"/>
  <c r="F8" i="22"/>
  <c r="AB7" i="22"/>
  <c r="Y7" i="22"/>
  <c r="X7" i="22"/>
  <c r="S7" i="22"/>
  <c r="O7" i="22"/>
  <c r="P7" i="22" s="1"/>
  <c r="AB6" i="22"/>
  <c r="X6" i="22"/>
  <c r="Y6" i="22" s="1"/>
  <c r="B1" i="22"/>
  <c r="AI43" i="23"/>
  <c r="AD43" i="23"/>
  <c r="AI39" i="23"/>
  <c r="AD39" i="23"/>
  <c r="AB38" i="23"/>
  <c r="X38" i="23"/>
  <c r="Q38" i="23"/>
  <c r="S38" i="23" s="1"/>
  <c r="N38" i="23"/>
  <c r="AF38" i="23" s="1"/>
  <c r="J38" i="23"/>
  <c r="F38" i="23"/>
  <c r="AL37" i="23"/>
  <c r="AG37" i="23"/>
  <c r="AB37" i="23"/>
  <c r="X37" i="23"/>
  <c r="S37" i="23"/>
  <c r="Q37" i="23"/>
  <c r="O37" i="23"/>
  <c r="N37" i="23"/>
  <c r="J37" i="23"/>
  <c r="G37" i="23"/>
  <c r="F37" i="23"/>
  <c r="AB36" i="23"/>
  <c r="X36" i="23"/>
  <c r="W36" i="23"/>
  <c r="S36" i="23"/>
  <c r="Q36" i="23"/>
  <c r="O36" i="23"/>
  <c r="N36" i="23"/>
  <c r="AF36" i="23" s="1"/>
  <c r="J36" i="23"/>
  <c r="G36" i="23"/>
  <c r="F36" i="23"/>
  <c r="AL36" i="23" s="1"/>
  <c r="AB35" i="23"/>
  <c r="X35" i="23"/>
  <c r="S35" i="23"/>
  <c r="Q35" i="23"/>
  <c r="P35" i="23"/>
  <c r="O35" i="23"/>
  <c r="N35" i="23"/>
  <c r="J35" i="23"/>
  <c r="F35" i="23"/>
  <c r="AG35" i="23" s="1"/>
  <c r="AF34" i="23"/>
  <c r="AB34" i="23"/>
  <c r="X34" i="23"/>
  <c r="W34" i="23"/>
  <c r="Q34" i="23"/>
  <c r="N34" i="23"/>
  <c r="J34" i="23"/>
  <c r="F34" i="23"/>
  <c r="AF33" i="23"/>
  <c r="AB33" i="23"/>
  <c r="X33" i="23"/>
  <c r="S33" i="23"/>
  <c r="O33" i="23"/>
  <c r="P33" i="23" s="1"/>
  <c r="N33" i="23"/>
  <c r="W33" i="23" s="1"/>
  <c r="AK33" i="23" s="1"/>
  <c r="J33" i="23"/>
  <c r="G33" i="23"/>
  <c r="F33" i="23"/>
  <c r="AL33" i="23" s="1"/>
  <c r="AB32" i="23"/>
  <c r="X32" i="23"/>
  <c r="S32" i="23"/>
  <c r="Q32" i="23"/>
  <c r="O32" i="23"/>
  <c r="N32" i="23"/>
  <c r="J32" i="23"/>
  <c r="G32" i="23"/>
  <c r="F32" i="23"/>
  <c r="AB31" i="23"/>
  <c r="X31" i="23"/>
  <c r="Q31" i="23"/>
  <c r="N31" i="23"/>
  <c r="W31" i="23" s="1"/>
  <c r="AK31" i="23" s="1"/>
  <c r="J31" i="23"/>
  <c r="F31" i="23"/>
  <c r="AB30" i="23"/>
  <c r="X30" i="23"/>
  <c r="Y30" i="23" s="1"/>
  <c r="S30" i="23"/>
  <c r="O30" i="23"/>
  <c r="P30" i="23" s="1"/>
  <c r="N30" i="23"/>
  <c r="W30" i="23" s="1"/>
  <c r="AK30" i="23" s="1"/>
  <c r="J30" i="23"/>
  <c r="F30" i="23"/>
  <c r="G30" i="23" s="1"/>
  <c r="AL29" i="23"/>
  <c r="AB29" i="23"/>
  <c r="X29" i="23"/>
  <c r="S29" i="23"/>
  <c r="Q29" i="23"/>
  <c r="O29" i="23"/>
  <c r="N29" i="23"/>
  <c r="J29" i="23"/>
  <c r="G29" i="23"/>
  <c r="F29" i="23"/>
  <c r="AG29" i="23" s="1"/>
  <c r="AB28" i="23"/>
  <c r="X28" i="23"/>
  <c r="Q28" i="23"/>
  <c r="O28" i="23" s="1"/>
  <c r="N28" i="23"/>
  <c r="J28" i="23"/>
  <c r="G28" i="23"/>
  <c r="F28" i="23"/>
  <c r="AL27" i="23"/>
  <c r="AB27" i="23"/>
  <c r="X27" i="23"/>
  <c r="Q27" i="23"/>
  <c r="S27" i="23" s="1"/>
  <c r="N27" i="23"/>
  <c r="J27" i="23"/>
  <c r="F27" i="23"/>
  <c r="G27" i="23" s="1"/>
  <c r="AB26" i="23"/>
  <c r="X26" i="23"/>
  <c r="S26" i="23"/>
  <c r="Q26" i="23"/>
  <c r="O26" i="23"/>
  <c r="N26" i="23"/>
  <c r="AF26" i="23" s="1"/>
  <c r="J26" i="23"/>
  <c r="F26" i="23"/>
  <c r="G26" i="23" s="1"/>
  <c r="AB25" i="23"/>
  <c r="X25" i="23"/>
  <c r="S25" i="23"/>
  <c r="O25" i="23"/>
  <c r="N25" i="23"/>
  <c r="W25" i="23" s="1"/>
  <c r="J25" i="23"/>
  <c r="F25" i="23"/>
  <c r="AF24" i="23"/>
  <c r="AB24" i="23"/>
  <c r="X24" i="23"/>
  <c r="W24" i="23"/>
  <c r="AK24" i="23" s="1"/>
  <c r="Q24" i="23"/>
  <c r="O24" i="23" s="1"/>
  <c r="P24" i="23" s="1"/>
  <c r="N24" i="23"/>
  <c r="J24" i="23"/>
  <c r="F24" i="23"/>
  <c r="AL24" i="23" s="1"/>
  <c r="AG23" i="23"/>
  <c r="AB23" i="23"/>
  <c r="X23" i="23"/>
  <c r="S23" i="23"/>
  <c r="Q23" i="23"/>
  <c r="O23" i="23"/>
  <c r="N23" i="23"/>
  <c r="AF23" i="23" s="1"/>
  <c r="J23" i="23"/>
  <c r="G23" i="23"/>
  <c r="F23" i="23"/>
  <c r="AF22" i="23"/>
  <c r="AB22" i="23"/>
  <c r="X22" i="23"/>
  <c r="W22" i="23"/>
  <c r="Y22" i="23" s="1"/>
  <c r="Q22" i="23"/>
  <c r="S22" i="23" s="1"/>
  <c r="O22" i="23"/>
  <c r="N22" i="23"/>
  <c r="J22" i="23"/>
  <c r="F22" i="23"/>
  <c r="AG22" i="23" s="1"/>
  <c r="AG21" i="23"/>
  <c r="AB21" i="23"/>
  <c r="X21" i="23"/>
  <c r="S21" i="23"/>
  <c r="Q21" i="23"/>
  <c r="O21" i="23"/>
  <c r="N21" i="23"/>
  <c r="P21" i="23" s="1"/>
  <c r="J21" i="23"/>
  <c r="G21" i="23"/>
  <c r="F21" i="23"/>
  <c r="AF20" i="23"/>
  <c r="AB20" i="23"/>
  <c r="X20" i="23"/>
  <c r="Q20" i="23"/>
  <c r="S20" i="23" s="1"/>
  <c r="O20" i="23"/>
  <c r="P20" i="23" s="1"/>
  <c r="N20" i="23"/>
  <c r="W20" i="23" s="1"/>
  <c r="AK20" i="23" s="1"/>
  <c r="J20" i="23"/>
  <c r="F20" i="23"/>
  <c r="AB19" i="23"/>
  <c r="X19" i="23"/>
  <c r="S19" i="23"/>
  <c r="Q19" i="23"/>
  <c r="O19" i="23" s="1"/>
  <c r="N19" i="23"/>
  <c r="W19" i="23" s="1"/>
  <c r="AK19" i="23" s="1"/>
  <c r="J19" i="23"/>
  <c r="G19" i="23"/>
  <c r="F19" i="23"/>
  <c r="AB18" i="23"/>
  <c r="X18" i="23"/>
  <c r="Q18" i="23"/>
  <c r="S18" i="23" s="1"/>
  <c r="O18" i="23"/>
  <c r="P18" i="23" s="1"/>
  <c r="N18" i="23"/>
  <c r="W18" i="23" s="1"/>
  <c r="AK18" i="23" s="1"/>
  <c r="J18" i="23"/>
  <c r="F18" i="23"/>
  <c r="G18" i="23" s="1"/>
  <c r="AB17" i="23"/>
  <c r="X17" i="23"/>
  <c r="AL17" i="23" s="1"/>
  <c r="S17" i="23"/>
  <c r="Q17" i="23"/>
  <c r="O17" i="23" s="1"/>
  <c r="N17" i="23"/>
  <c r="W17" i="23" s="1"/>
  <c r="AK17" i="23" s="1"/>
  <c r="J17" i="23"/>
  <c r="F17" i="23"/>
  <c r="AG17" i="23" s="1"/>
  <c r="AG16" i="23"/>
  <c r="AF16" i="23"/>
  <c r="AB16" i="23"/>
  <c r="X16" i="23"/>
  <c r="S16" i="23"/>
  <c r="O16" i="23"/>
  <c r="N16" i="23"/>
  <c r="W16" i="23" s="1"/>
  <c r="AK16" i="23" s="1"/>
  <c r="J16" i="23"/>
  <c r="G16" i="23"/>
  <c r="F16" i="23"/>
  <c r="AL16" i="23" s="1"/>
  <c r="AF15" i="23"/>
  <c r="AB15" i="23"/>
  <c r="X15" i="23"/>
  <c r="Q15" i="23"/>
  <c r="S15" i="23" s="1"/>
  <c r="O15" i="23"/>
  <c r="P15" i="23" s="1"/>
  <c r="N15" i="23"/>
  <c r="W15" i="23" s="1"/>
  <c r="AK15" i="23" s="1"/>
  <c r="J15" i="23"/>
  <c r="F15" i="23"/>
  <c r="G15" i="23" s="1"/>
  <c r="AB14" i="23"/>
  <c r="X14" i="23"/>
  <c r="S14" i="23"/>
  <c r="Q14" i="23"/>
  <c r="O14" i="23" s="1"/>
  <c r="P14" i="23" s="1"/>
  <c r="N14" i="23"/>
  <c r="W14" i="23" s="1"/>
  <c r="AK14" i="23" s="1"/>
  <c r="J14" i="23"/>
  <c r="F14" i="23"/>
  <c r="AF13" i="23"/>
  <c r="AB13" i="23"/>
  <c r="X13" i="23"/>
  <c r="W13" i="23"/>
  <c r="AK13" i="23" s="1"/>
  <c r="Q13" i="23"/>
  <c r="O13" i="23" s="1"/>
  <c r="P13" i="23" s="1"/>
  <c r="N13" i="23"/>
  <c r="J13" i="23"/>
  <c r="F13" i="23"/>
  <c r="AL13" i="23" s="1"/>
  <c r="AG12" i="23"/>
  <c r="AB12" i="23"/>
  <c r="X12" i="23"/>
  <c r="S12" i="23"/>
  <c r="Q12" i="23"/>
  <c r="O12" i="23"/>
  <c r="N12" i="23"/>
  <c r="AF12" i="23" s="1"/>
  <c r="J12" i="23"/>
  <c r="G12" i="23"/>
  <c r="F12" i="23"/>
  <c r="AF11" i="23"/>
  <c r="AB11" i="23"/>
  <c r="X11" i="23"/>
  <c r="W11" i="23"/>
  <c r="Y11" i="23" s="1"/>
  <c r="Q11" i="23"/>
  <c r="S11" i="23" s="1"/>
  <c r="O11" i="23"/>
  <c r="N11" i="23"/>
  <c r="J11" i="23"/>
  <c r="F11" i="23"/>
  <c r="AG11" i="23" s="1"/>
  <c r="AB10" i="23"/>
  <c r="X10" i="23"/>
  <c r="S10" i="23"/>
  <c r="Q10" i="23"/>
  <c r="O10" i="23" s="1"/>
  <c r="N10" i="23"/>
  <c r="W10" i="23" s="1"/>
  <c r="AK10" i="23" s="1"/>
  <c r="J10" i="23"/>
  <c r="G10" i="23"/>
  <c r="F10" i="23"/>
  <c r="AL10" i="23" s="1"/>
  <c r="AB9" i="23"/>
  <c r="X9" i="23"/>
  <c r="W9" i="23"/>
  <c r="Y9" i="23" s="1"/>
  <c r="Q9" i="23"/>
  <c r="S9" i="23" s="1"/>
  <c r="O9" i="23"/>
  <c r="P9" i="23" s="1"/>
  <c r="N9" i="23"/>
  <c r="AF9" i="23" s="1"/>
  <c r="J9" i="23"/>
  <c r="F9" i="23"/>
  <c r="AG9" i="23" s="1"/>
  <c r="AB8" i="23"/>
  <c r="X8" i="23"/>
  <c r="S8" i="23"/>
  <c r="Q8" i="23"/>
  <c r="O8" i="23" s="1"/>
  <c r="N8" i="23"/>
  <c r="J8" i="23"/>
  <c r="G8" i="23"/>
  <c r="F8" i="23"/>
  <c r="AL8" i="23" s="1"/>
  <c r="AB7" i="23"/>
  <c r="Y7" i="23"/>
  <c r="X7" i="23"/>
  <c r="S7" i="23"/>
  <c r="O7" i="23"/>
  <c r="P7" i="23" s="1"/>
  <c r="AB6" i="23"/>
  <c r="X6" i="23"/>
  <c r="Y6" i="23" s="1"/>
  <c r="B1" i="23"/>
  <c r="C8" i="23" s="1"/>
  <c r="U8" i="23" s="1"/>
  <c r="AI43" i="4"/>
  <c r="AD43" i="4"/>
  <c r="AI39" i="4"/>
  <c r="AD39" i="4"/>
  <c r="AB38" i="4"/>
  <c r="X38" i="4"/>
  <c r="Q38" i="4"/>
  <c r="S38" i="4" s="1"/>
  <c r="O38" i="4"/>
  <c r="N38" i="4"/>
  <c r="J38" i="4"/>
  <c r="J38" i="3" s="1"/>
  <c r="F38" i="4"/>
  <c r="AL37" i="4"/>
  <c r="AG37" i="4"/>
  <c r="AB37" i="4"/>
  <c r="X37" i="4"/>
  <c r="S37" i="4"/>
  <c r="Q37" i="4"/>
  <c r="O37" i="4"/>
  <c r="N37" i="4"/>
  <c r="J37" i="4"/>
  <c r="F37" i="4"/>
  <c r="AF36" i="4"/>
  <c r="AB36" i="4"/>
  <c r="X36" i="4"/>
  <c r="W36" i="4"/>
  <c r="Q36" i="4"/>
  <c r="S36" i="4" s="1"/>
  <c r="O36" i="4"/>
  <c r="N36" i="4"/>
  <c r="J36" i="4"/>
  <c r="J36" i="3" s="1"/>
  <c r="F36" i="4"/>
  <c r="AB35" i="4"/>
  <c r="AB35" i="3" s="1"/>
  <c r="X35" i="4"/>
  <c r="S35" i="4"/>
  <c r="Q35" i="4"/>
  <c r="O35" i="4" s="1"/>
  <c r="N35" i="4"/>
  <c r="J35" i="4"/>
  <c r="J35" i="3" s="1"/>
  <c r="G35" i="4"/>
  <c r="F35" i="4"/>
  <c r="AB34" i="4"/>
  <c r="X34" i="4"/>
  <c r="W34" i="4"/>
  <c r="Q34" i="4"/>
  <c r="O34" i="4" s="1"/>
  <c r="N34" i="4"/>
  <c r="AF34" i="4" s="1"/>
  <c r="J34" i="4"/>
  <c r="F34" i="4"/>
  <c r="AB33" i="4"/>
  <c r="X33" i="4"/>
  <c r="S33" i="4"/>
  <c r="O33" i="4"/>
  <c r="N33" i="4"/>
  <c r="J33" i="4"/>
  <c r="F33" i="4"/>
  <c r="AG33" i="4" s="1"/>
  <c r="AB32" i="4"/>
  <c r="X32" i="4"/>
  <c r="S32" i="4"/>
  <c r="Q32" i="4"/>
  <c r="O32" i="4" s="1"/>
  <c r="N32" i="4"/>
  <c r="J32" i="4"/>
  <c r="G32" i="4"/>
  <c r="F32" i="4"/>
  <c r="AB31" i="4"/>
  <c r="X31" i="4"/>
  <c r="W31" i="4"/>
  <c r="Q31" i="4"/>
  <c r="O31" i="4" s="1"/>
  <c r="N31" i="4"/>
  <c r="AF31" i="4" s="1"/>
  <c r="J31" i="4"/>
  <c r="J31" i="3" s="1"/>
  <c r="F31" i="4"/>
  <c r="AB30" i="4"/>
  <c r="X30" i="4"/>
  <c r="S30" i="4"/>
  <c r="S30" i="3" s="1"/>
  <c r="O30" i="4"/>
  <c r="N30" i="4"/>
  <c r="J30" i="4"/>
  <c r="F30" i="4"/>
  <c r="AG30" i="4" s="1"/>
  <c r="AB29" i="4"/>
  <c r="AB29" i="3" s="1"/>
  <c r="X29" i="4"/>
  <c r="S29" i="4"/>
  <c r="Q29" i="4"/>
  <c r="O29" i="4"/>
  <c r="N29" i="4"/>
  <c r="J29" i="4"/>
  <c r="G29" i="4"/>
  <c r="F29" i="4"/>
  <c r="AB28" i="4"/>
  <c r="X28" i="4"/>
  <c r="Q28" i="4"/>
  <c r="O28" i="4" s="1"/>
  <c r="N28" i="4"/>
  <c r="AF28" i="4" s="1"/>
  <c r="J28" i="4"/>
  <c r="F28" i="4"/>
  <c r="AB27" i="4"/>
  <c r="AB27" i="3" s="1"/>
  <c r="X27" i="4"/>
  <c r="Q27" i="4"/>
  <c r="S27" i="4" s="1"/>
  <c r="N27" i="4"/>
  <c r="J27" i="4"/>
  <c r="F27" i="4"/>
  <c r="AB26" i="4"/>
  <c r="X26" i="4"/>
  <c r="Q26" i="4"/>
  <c r="S26" i="4" s="1"/>
  <c r="O26" i="4"/>
  <c r="N26" i="4"/>
  <c r="AF26" i="4" s="1"/>
  <c r="J26" i="4"/>
  <c r="F26" i="4"/>
  <c r="AB25" i="4"/>
  <c r="AB25" i="3" s="1"/>
  <c r="X25" i="4"/>
  <c r="S25" i="4"/>
  <c r="O25" i="4"/>
  <c r="N25" i="4"/>
  <c r="J25" i="4"/>
  <c r="F25" i="4"/>
  <c r="AB24" i="4"/>
  <c r="X24" i="4"/>
  <c r="Q24" i="4"/>
  <c r="S24" i="4" s="1"/>
  <c r="N24" i="4"/>
  <c r="J24" i="4"/>
  <c r="F24" i="4"/>
  <c r="AF23" i="4"/>
  <c r="AB23" i="4"/>
  <c r="X23" i="4"/>
  <c r="Q23" i="4"/>
  <c r="S23" i="4" s="1"/>
  <c r="O23" i="4"/>
  <c r="N23" i="4"/>
  <c r="J23" i="4"/>
  <c r="J23" i="3" s="1"/>
  <c r="F23" i="4"/>
  <c r="AG22" i="4"/>
  <c r="AB22" i="4"/>
  <c r="X22" i="4"/>
  <c r="S22" i="4"/>
  <c r="Q22" i="4"/>
  <c r="O22" i="4"/>
  <c r="N22" i="4"/>
  <c r="J22" i="4"/>
  <c r="G22" i="4"/>
  <c r="F22" i="4"/>
  <c r="AB21" i="4"/>
  <c r="X21" i="4"/>
  <c r="W21" i="4"/>
  <c r="Q21" i="4"/>
  <c r="S21" i="4" s="1"/>
  <c r="O21" i="4"/>
  <c r="N21" i="4"/>
  <c r="J21" i="4"/>
  <c r="F21" i="4"/>
  <c r="AG20" i="4"/>
  <c r="AB20" i="4"/>
  <c r="AB20" i="3" s="1"/>
  <c r="X20" i="4"/>
  <c r="S20" i="4"/>
  <c r="Q20" i="4"/>
  <c r="O20" i="4"/>
  <c r="N20" i="4"/>
  <c r="J20" i="4"/>
  <c r="J20" i="3" s="1"/>
  <c r="F20" i="4"/>
  <c r="AL20" i="4" s="1"/>
  <c r="AL19" i="4"/>
  <c r="AB19" i="4"/>
  <c r="AB19" i="3" s="1"/>
  <c r="X19" i="4"/>
  <c r="W19" i="4"/>
  <c r="S19" i="4"/>
  <c r="Q19" i="4"/>
  <c r="O19" i="4"/>
  <c r="N19" i="4"/>
  <c r="AF19" i="4" s="1"/>
  <c r="J19" i="4"/>
  <c r="G19" i="4"/>
  <c r="F19" i="4"/>
  <c r="AB18" i="4"/>
  <c r="X18" i="4"/>
  <c r="S18" i="4"/>
  <c r="Q18" i="4"/>
  <c r="O18" i="4"/>
  <c r="N18" i="4"/>
  <c r="J18" i="4"/>
  <c r="F18" i="4"/>
  <c r="AF17" i="4"/>
  <c r="AB17" i="4"/>
  <c r="X17" i="4"/>
  <c r="W17" i="4"/>
  <c r="Q17" i="4"/>
  <c r="O17" i="4" s="1"/>
  <c r="N17" i="4"/>
  <c r="J17" i="4"/>
  <c r="F17" i="4"/>
  <c r="AG16" i="4"/>
  <c r="AB16" i="4"/>
  <c r="AB16" i="3" s="1"/>
  <c r="X16" i="4"/>
  <c r="S16" i="4"/>
  <c r="S16" i="3" s="1"/>
  <c r="O16" i="4"/>
  <c r="N16" i="4"/>
  <c r="J16" i="4"/>
  <c r="F16" i="4"/>
  <c r="AB15" i="4"/>
  <c r="AB15" i="3" s="1"/>
  <c r="X15" i="4"/>
  <c r="S15" i="4"/>
  <c r="Q15" i="4"/>
  <c r="O15" i="4"/>
  <c r="N15" i="4"/>
  <c r="J15" i="4"/>
  <c r="F15" i="4"/>
  <c r="AB14" i="4"/>
  <c r="AB14" i="3" s="1"/>
  <c r="X14" i="4"/>
  <c r="W14" i="4"/>
  <c r="Q14" i="4"/>
  <c r="O14" i="4" s="1"/>
  <c r="N14" i="4"/>
  <c r="J14" i="4"/>
  <c r="J14" i="3" s="1"/>
  <c r="F14" i="4"/>
  <c r="AB13" i="4"/>
  <c r="X13" i="4"/>
  <c r="Q13" i="4"/>
  <c r="S13" i="4" s="1"/>
  <c r="N13" i="4"/>
  <c r="J13" i="4"/>
  <c r="F13" i="4"/>
  <c r="AF12" i="4"/>
  <c r="AB12" i="4"/>
  <c r="X12" i="4"/>
  <c r="Q12" i="4"/>
  <c r="S12" i="4" s="1"/>
  <c r="O12" i="4"/>
  <c r="N12" i="4"/>
  <c r="J12" i="4"/>
  <c r="J12" i="3" s="1"/>
  <c r="F12" i="4"/>
  <c r="AB11" i="4"/>
  <c r="X11" i="4"/>
  <c r="S11" i="4"/>
  <c r="Q11" i="4"/>
  <c r="O11" i="4"/>
  <c r="N11" i="4"/>
  <c r="J11" i="4"/>
  <c r="F11" i="4"/>
  <c r="AB10" i="4"/>
  <c r="X10" i="4"/>
  <c r="W10" i="4"/>
  <c r="Q10" i="4"/>
  <c r="S10" i="4" s="1"/>
  <c r="O10" i="4"/>
  <c r="N10" i="4"/>
  <c r="J10" i="4"/>
  <c r="J10" i="3" s="1"/>
  <c r="F10" i="4"/>
  <c r="AG9" i="4"/>
  <c r="AB9" i="4"/>
  <c r="X9" i="4"/>
  <c r="S9" i="4"/>
  <c r="Q9" i="4"/>
  <c r="P9" i="4"/>
  <c r="O9" i="4"/>
  <c r="N9" i="4"/>
  <c r="W9" i="4" s="1"/>
  <c r="J9" i="4"/>
  <c r="G9" i="4"/>
  <c r="F9" i="4"/>
  <c r="AF8" i="4"/>
  <c r="AB8" i="4"/>
  <c r="AB8" i="3" s="1"/>
  <c r="X8" i="4"/>
  <c r="W8" i="4"/>
  <c r="Q8" i="4"/>
  <c r="S8" i="4" s="1"/>
  <c r="O8" i="4"/>
  <c r="N8" i="4"/>
  <c r="J8" i="4"/>
  <c r="F8" i="4"/>
  <c r="G8" i="4" s="1"/>
  <c r="AB7" i="4"/>
  <c r="X7" i="4"/>
  <c r="S7" i="4"/>
  <c r="P7" i="4"/>
  <c r="O7" i="4"/>
  <c r="AB6" i="4"/>
  <c r="X6" i="4"/>
  <c r="B1" i="4"/>
  <c r="AI43" i="3"/>
  <c r="AD43" i="3"/>
  <c r="AI39" i="3"/>
  <c r="AD39" i="3"/>
  <c r="C8" i="3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A38" i="3" s="1"/>
  <c r="O7" i="3"/>
  <c r="P7" i="3" s="1"/>
  <c r="S7" i="3"/>
  <c r="L7" i="8" l="1"/>
  <c r="L8" i="8" s="1"/>
  <c r="L9" i="8" s="1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L24" i="8" s="1"/>
  <c r="L25" i="8" s="1"/>
  <c r="L26" i="8" s="1"/>
  <c r="L27" i="8" s="1"/>
  <c r="L28" i="8" s="1"/>
  <c r="L29" i="8" s="1"/>
  <c r="L30" i="8" s="1"/>
  <c r="L31" i="8" s="1"/>
  <c r="L32" i="8" s="1"/>
  <c r="L33" i="8" s="1"/>
  <c r="L34" i="8" s="1"/>
  <c r="L35" i="8" s="1"/>
  <c r="L36" i="8" s="1"/>
  <c r="L37" i="8" s="1"/>
  <c r="L38" i="8" s="1"/>
  <c r="U7" i="23"/>
  <c r="U6" i="23" s="1"/>
  <c r="U9" i="23"/>
  <c r="U10" i="23" s="1"/>
  <c r="U11" i="23" s="1"/>
  <c r="U12" i="23" s="1"/>
  <c r="U13" i="23" s="1"/>
  <c r="U14" i="23" s="1"/>
  <c r="U15" i="23" s="1"/>
  <c r="U16" i="23" s="1"/>
  <c r="U17" i="23" s="1"/>
  <c r="U18" i="23" s="1"/>
  <c r="U19" i="23" s="1"/>
  <c r="U20" i="23" s="1"/>
  <c r="U21" i="23" s="1"/>
  <c r="U22" i="23" s="1"/>
  <c r="U23" i="23" s="1"/>
  <c r="U24" i="23" s="1"/>
  <c r="U25" i="23" s="1"/>
  <c r="U26" i="23" s="1"/>
  <c r="U27" i="23" s="1"/>
  <c r="U28" i="23" s="1"/>
  <c r="U29" i="23" s="1"/>
  <c r="U30" i="23" s="1"/>
  <c r="U31" i="23" s="1"/>
  <c r="U32" i="23" s="1"/>
  <c r="U33" i="23" s="1"/>
  <c r="U34" i="23" s="1"/>
  <c r="U35" i="23" s="1"/>
  <c r="U36" i="23" s="1"/>
  <c r="U37" i="23" s="1"/>
  <c r="U38" i="23" s="1"/>
  <c r="C9" i="8"/>
  <c r="C10" i="8" s="1"/>
  <c r="U8" i="8"/>
  <c r="L7" i="12"/>
  <c r="L8" i="12" s="1"/>
  <c r="L9" i="12" s="1"/>
  <c r="L10" i="12" s="1"/>
  <c r="L11" i="12" s="1"/>
  <c r="L12" i="12" s="1"/>
  <c r="L13" i="12" s="1"/>
  <c r="L14" i="12" s="1"/>
  <c r="L15" i="12" s="1"/>
  <c r="L16" i="12" s="1"/>
  <c r="L17" i="12" s="1"/>
  <c r="L18" i="12" s="1"/>
  <c r="L19" i="12" s="1"/>
  <c r="L20" i="12" s="1"/>
  <c r="L21" i="12" s="1"/>
  <c r="L22" i="12" s="1"/>
  <c r="L23" i="12" s="1"/>
  <c r="L24" i="12" s="1"/>
  <c r="L25" i="12" s="1"/>
  <c r="L26" i="12" s="1"/>
  <c r="L27" i="12" s="1"/>
  <c r="L28" i="12" s="1"/>
  <c r="L29" i="12" s="1"/>
  <c r="L30" i="12" s="1"/>
  <c r="L31" i="12" s="1"/>
  <c r="L32" i="12" s="1"/>
  <c r="L33" i="12" s="1"/>
  <c r="L34" i="12" s="1"/>
  <c r="L35" i="12" s="1"/>
  <c r="L36" i="12" s="1"/>
  <c r="L37" i="12" s="1"/>
  <c r="L38" i="12" s="1"/>
  <c r="L7" i="4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7" i="23"/>
  <c r="L8" i="23" s="1"/>
  <c r="L9" i="23" s="1"/>
  <c r="L10" i="23" s="1"/>
  <c r="L11" i="23" s="1"/>
  <c r="L12" i="23" s="1"/>
  <c r="L13" i="23" s="1"/>
  <c r="L14" i="23" s="1"/>
  <c r="L15" i="23" s="1"/>
  <c r="L16" i="23" s="1"/>
  <c r="L17" i="23" s="1"/>
  <c r="L18" i="23" s="1"/>
  <c r="L19" i="23" s="1"/>
  <c r="L20" i="23" s="1"/>
  <c r="L21" i="23" s="1"/>
  <c r="L22" i="23" s="1"/>
  <c r="L23" i="23" s="1"/>
  <c r="L24" i="23" s="1"/>
  <c r="L25" i="23" s="1"/>
  <c r="L26" i="23" s="1"/>
  <c r="L27" i="23" s="1"/>
  <c r="L28" i="23" s="1"/>
  <c r="L29" i="23" s="1"/>
  <c r="L30" i="23" s="1"/>
  <c r="L31" i="23" s="1"/>
  <c r="L32" i="23" s="1"/>
  <c r="L33" i="23" s="1"/>
  <c r="L34" i="23" s="1"/>
  <c r="L35" i="23" s="1"/>
  <c r="L36" i="23" s="1"/>
  <c r="L37" i="23" s="1"/>
  <c r="L38" i="23" s="1"/>
  <c r="L7" i="1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7" i="7"/>
  <c r="L8" i="7" s="1"/>
  <c r="L9" i="7" s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34" i="7" s="1"/>
  <c r="L35" i="7" s="1"/>
  <c r="L36" i="7" s="1"/>
  <c r="L37" i="7" s="1"/>
  <c r="L38" i="7" s="1"/>
  <c r="C8" i="17"/>
  <c r="L7" i="17"/>
  <c r="L8" i="17" s="1"/>
  <c r="L9" i="17" s="1"/>
  <c r="L10" i="17" s="1"/>
  <c r="L11" i="17" s="1"/>
  <c r="L12" i="17" s="1"/>
  <c r="L13" i="17" s="1"/>
  <c r="L14" i="17" s="1"/>
  <c r="L15" i="17" s="1"/>
  <c r="L16" i="17" s="1"/>
  <c r="L17" i="17" s="1"/>
  <c r="L18" i="17" s="1"/>
  <c r="L19" i="17" s="1"/>
  <c r="L20" i="17" s="1"/>
  <c r="L21" i="17" s="1"/>
  <c r="L22" i="17" s="1"/>
  <c r="L23" i="17" s="1"/>
  <c r="L24" i="17" s="1"/>
  <c r="L25" i="17" s="1"/>
  <c r="L26" i="17" s="1"/>
  <c r="L27" i="17" s="1"/>
  <c r="L28" i="17" s="1"/>
  <c r="L29" i="17" s="1"/>
  <c r="L30" i="17" s="1"/>
  <c r="L31" i="17" s="1"/>
  <c r="L32" i="17" s="1"/>
  <c r="L33" i="17" s="1"/>
  <c r="L34" i="17" s="1"/>
  <c r="L35" i="17" s="1"/>
  <c r="L36" i="17" s="1"/>
  <c r="L37" i="17" s="1"/>
  <c r="L38" i="17" s="1"/>
  <c r="L7" i="6"/>
  <c r="L8" i="6" s="1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L24" i="6" s="1"/>
  <c r="L25" i="6" s="1"/>
  <c r="L26" i="6" s="1"/>
  <c r="L27" i="6" s="1"/>
  <c r="L28" i="6" s="1"/>
  <c r="L29" i="6" s="1"/>
  <c r="L30" i="6" s="1"/>
  <c r="L31" i="6" s="1"/>
  <c r="L32" i="6" s="1"/>
  <c r="L33" i="6" s="1"/>
  <c r="L34" i="6" s="1"/>
  <c r="L35" i="6" s="1"/>
  <c r="L36" i="6" s="1"/>
  <c r="L37" i="6" s="1"/>
  <c r="L38" i="6" s="1"/>
  <c r="L7" i="22"/>
  <c r="L8" i="22" s="1"/>
  <c r="L9" i="22" s="1"/>
  <c r="L10" i="22" s="1"/>
  <c r="L11" i="22" s="1"/>
  <c r="L12" i="22" s="1"/>
  <c r="L13" i="22" s="1"/>
  <c r="L14" i="22" s="1"/>
  <c r="L15" i="22" s="1"/>
  <c r="L16" i="22" s="1"/>
  <c r="L17" i="22" s="1"/>
  <c r="L18" i="22" s="1"/>
  <c r="L19" i="22" s="1"/>
  <c r="L20" i="22" s="1"/>
  <c r="L21" i="22" s="1"/>
  <c r="L22" i="22" s="1"/>
  <c r="L23" i="22" s="1"/>
  <c r="L24" i="22" s="1"/>
  <c r="L25" i="22" s="1"/>
  <c r="L26" i="22" s="1"/>
  <c r="L27" i="22" s="1"/>
  <c r="L28" i="22" s="1"/>
  <c r="L29" i="22" s="1"/>
  <c r="L30" i="22" s="1"/>
  <c r="L31" i="22" s="1"/>
  <c r="L32" i="22" s="1"/>
  <c r="L33" i="22" s="1"/>
  <c r="L34" i="22" s="1"/>
  <c r="L35" i="22" s="1"/>
  <c r="L36" i="22" s="1"/>
  <c r="L37" i="22" s="1"/>
  <c r="L38" i="22" s="1"/>
  <c r="L7" i="18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L18" i="18" s="1"/>
  <c r="L19" i="18" s="1"/>
  <c r="L20" i="18" s="1"/>
  <c r="L21" i="18" s="1"/>
  <c r="L22" i="18" s="1"/>
  <c r="L23" i="18" s="1"/>
  <c r="L24" i="18" s="1"/>
  <c r="L25" i="18" s="1"/>
  <c r="L26" i="18" s="1"/>
  <c r="L27" i="18" s="1"/>
  <c r="L28" i="18" s="1"/>
  <c r="L29" i="18" s="1"/>
  <c r="L30" i="18" s="1"/>
  <c r="L31" i="18" s="1"/>
  <c r="L32" i="18" s="1"/>
  <c r="L33" i="18" s="1"/>
  <c r="L34" i="18" s="1"/>
  <c r="L35" i="18" s="1"/>
  <c r="L36" i="18" s="1"/>
  <c r="L37" i="18" s="1"/>
  <c r="L38" i="18" s="1"/>
  <c r="L7" i="14"/>
  <c r="L8" i="14" s="1"/>
  <c r="L9" i="14" s="1"/>
  <c r="L10" i="14" s="1"/>
  <c r="L11" i="14" s="1"/>
  <c r="L12" i="14" s="1"/>
  <c r="L13" i="14" s="1"/>
  <c r="L14" i="14" s="1"/>
  <c r="L15" i="14" s="1"/>
  <c r="L16" i="14" s="1"/>
  <c r="L17" i="14" s="1"/>
  <c r="L18" i="14" s="1"/>
  <c r="L19" i="14" s="1"/>
  <c r="L20" i="14" s="1"/>
  <c r="L21" i="14" s="1"/>
  <c r="L22" i="14" s="1"/>
  <c r="L23" i="14" s="1"/>
  <c r="L24" i="14" s="1"/>
  <c r="L25" i="14" s="1"/>
  <c r="L26" i="14" s="1"/>
  <c r="L27" i="14" s="1"/>
  <c r="L28" i="14" s="1"/>
  <c r="L29" i="14" s="1"/>
  <c r="L30" i="14" s="1"/>
  <c r="L31" i="14" s="1"/>
  <c r="L32" i="14" s="1"/>
  <c r="L33" i="14" s="1"/>
  <c r="L34" i="14" s="1"/>
  <c r="L35" i="14" s="1"/>
  <c r="L36" i="14" s="1"/>
  <c r="L37" i="14" s="1"/>
  <c r="L38" i="14" s="1"/>
  <c r="L7" i="21"/>
  <c r="L8" i="21" s="1"/>
  <c r="L9" i="21" s="1"/>
  <c r="L10" i="21" s="1"/>
  <c r="L11" i="21" s="1"/>
  <c r="L12" i="21" s="1"/>
  <c r="L13" i="21" s="1"/>
  <c r="L14" i="21" s="1"/>
  <c r="L15" i="21" s="1"/>
  <c r="L16" i="21" s="1"/>
  <c r="L17" i="21" s="1"/>
  <c r="L18" i="21" s="1"/>
  <c r="L19" i="21" s="1"/>
  <c r="L20" i="21" s="1"/>
  <c r="L21" i="21" s="1"/>
  <c r="L22" i="21" s="1"/>
  <c r="L23" i="21" s="1"/>
  <c r="L24" i="21" s="1"/>
  <c r="L25" i="21" s="1"/>
  <c r="L26" i="21" s="1"/>
  <c r="L27" i="21" s="1"/>
  <c r="L28" i="21" s="1"/>
  <c r="L29" i="21" s="1"/>
  <c r="L30" i="21" s="1"/>
  <c r="L31" i="21" s="1"/>
  <c r="L32" i="21" s="1"/>
  <c r="L33" i="21" s="1"/>
  <c r="L34" i="21" s="1"/>
  <c r="L35" i="21" s="1"/>
  <c r="L36" i="21" s="1"/>
  <c r="L37" i="21" s="1"/>
  <c r="L38" i="21" s="1"/>
  <c r="L7" i="19"/>
  <c r="L8" i="19" s="1"/>
  <c r="L9" i="19" s="1"/>
  <c r="L10" i="19" s="1"/>
  <c r="L11" i="19" s="1"/>
  <c r="L12" i="19" s="1"/>
  <c r="L13" i="19" s="1"/>
  <c r="L14" i="19" s="1"/>
  <c r="L15" i="19" s="1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L27" i="19" s="1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7" i="16"/>
  <c r="L8" i="16" s="1"/>
  <c r="L9" i="16" s="1"/>
  <c r="L10" i="16" s="1"/>
  <c r="L11" i="16" s="1"/>
  <c r="L12" i="16" s="1"/>
  <c r="L13" i="16" s="1"/>
  <c r="L14" i="16" s="1"/>
  <c r="L15" i="16" s="1"/>
  <c r="L16" i="16" s="1"/>
  <c r="L17" i="16" s="1"/>
  <c r="L18" i="16" s="1"/>
  <c r="L19" i="16" s="1"/>
  <c r="L20" i="16" s="1"/>
  <c r="L21" i="16" s="1"/>
  <c r="L22" i="16" s="1"/>
  <c r="L23" i="16" s="1"/>
  <c r="L24" i="16" s="1"/>
  <c r="L25" i="16" s="1"/>
  <c r="L26" i="16" s="1"/>
  <c r="L27" i="16" s="1"/>
  <c r="L28" i="16" s="1"/>
  <c r="L29" i="16" s="1"/>
  <c r="L30" i="16" s="1"/>
  <c r="L31" i="16" s="1"/>
  <c r="L32" i="16" s="1"/>
  <c r="L33" i="16" s="1"/>
  <c r="L34" i="16" s="1"/>
  <c r="L35" i="16" s="1"/>
  <c r="L36" i="16" s="1"/>
  <c r="L37" i="16" s="1"/>
  <c r="L38" i="16" s="1"/>
  <c r="L7" i="15"/>
  <c r="L8" i="15" s="1"/>
  <c r="L9" i="15" s="1"/>
  <c r="L10" i="15" s="1"/>
  <c r="L11" i="15" s="1"/>
  <c r="L12" i="15" s="1"/>
  <c r="L13" i="15" s="1"/>
  <c r="L14" i="15" s="1"/>
  <c r="L15" i="15" s="1"/>
  <c r="L16" i="15" s="1"/>
  <c r="L17" i="15" s="1"/>
  <c r="L18" i="15" s="1"/>
  <c r="L19" i="15" s="1"/>
  <c r="L20" i="15" s="1"/>
  <c r="L21" i="15" s="1"/>
  <c r="L22" i="15" s="1"/>
  <c r="L23" i="15" s="1"/>
  <c r="L24" i="15" s="1"/>
  <c r="L25" i="15" s="1"/>
  <c r="L26" i="15" s="1"/>
  <c r="L27" i="15" s="1"/>
  <c r="L28" i="15" s="1"/>
  <c r="L29" i="15" s="1"/>
  <c r="L30" i="15" s="1"/>
  <c r="L31" i="15" s="1"/>
  <c r="L32" i="15" s="1"/>
  <c r="L33" i="15" s="1"/>
  <c r="L34" i="15" s="1"/>
  <c r="L35" i="15" s="1"/>
  <c r="L36" i="15" s="1"/>
  <c r="L37" i="15" s="1"/>
  <c r="L38" i="15" s="1"/>
  <c r="L7" i="13"/>
  <c r="L8" i="13" s="1"/>
  <c r="L9" i="13" s="1"/>
  <c r="L10" i="13" s="1"/>
  <c r="L11" i="13" s="1"/>
  <c r="L12" i="13" s="1"/>
  <c r="L13" i="13" s="1"/>
  <c r="L14" i="13" s="1"/>
  <c r="L15" i="13" s="1"/>
  <c r="L16" i="13" s="1"/>
  <c r="L17" i="13" s="1"/>
  <c r="L18" i="13" s="1"/>
  <c r="L19" i="13" s="1"/>
  <c r="L20" i="13" s="1"/>
  <c r="L21" i="13" s="1"/>
  <c r="L22" i="13" s="1"/>
  <c r="L23" i="13" s="1"/>
  <c r="L24" i="13" s="1"/>
  <c r="L25" i="13" s="1"/>
  <c r="L26" i="13" s="1"/>
  <c r="L27" i="13" s="1"/>
  <c r="L28" i="13" s="1"/>
  <c r="L29" i="13" s="1"/>
  <c r="L30" i="13" s="1"/>
  <c r="L31" i="13" s="1"/>
  <c r="L32" i="13" s="1"/>
  <c r="L33" i="13" s="1"/>
  <c r="L34" i="13" s="1"/>
  <c r="L35" i="13" s="1"/>
  <c r="L36" i="13" s="1"/>
  <c r="L37" i="13" s="1"/>
  <c r="L38" i="13" s="1"/>
  <c r="L7" i="9"/>
  <c r="L8" i="9" s="1"/>
  <c r="L9" i="9" s="1"/>
  <c r="L10" i="9" s="1"/>
  <c r="L11" i="9" s="1"/>
  <c r="L12" i="9" s="1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L24" i="9" s="1"/>
  <c r="L25" i="9" s="1"/>
  <c r="L26" i="9" s="1"/>
  <c r="L27" i="9" s="1"/>
  <c r="L28" i="9" s="1"/>
  <c r="L29" i="9" s="1"/>
  <c r="L30" i="9" s="1"/>
  <c r="L31" i="9" s="1"/>
  <c r="L32" i="9" s="1"/>
  <c r="L33" i="9" s="1"/>
  <c r="L34" i="9" s="1"/>
  <c r="L35" i="9" s="1"/>
  <c r="L36" i="9" s="1"/>
  <c r="L37" i="9" s="1"/>
  <c r="L38" i="9" s="1"/>
  <c r="L7" i="5"/>
  <c r="L8" i="5" s="1"/>
  <c r="L9" i="5" s="1"/>
  <c r="L10" i="5" s="1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AD8" i="10"/>
  <c r="C3" i="20"/>
  <c r="L3" i="20"/>
  <c r="C3" i="17"/>
  <c r="C3" i="9"/>
  <c r="C3" i="6"/>
  <c r="C3" i="19"/>
  <c r="C3" i="11"/>
  <c r="C3" i="22"/>
  <c r="C3" i="4"/>
  <c r="C3" i="16"/>
  <c r="C3" i="8"/>
  <c r="C3" i="14"/>
  <c r="C3" i="21"/>
  <c r="C3" i="13"/>
  <c r="C3" i="18"/>
  <c r="C3" i="10"/>
  <c r="C3" i="23"/>
  <c r="C3" i="15"/>
  <c r="L3" i="10"/>
  <c r="U8" i="3"/>
  <c r="U7" i="3" s="1"/>
  <c r="U6" i="3" s="1"/>
  <c r="U3" i="3" s="1"/>
  <c r="C3" i="3"/>
  <c r="AF20" i="4"/>
  <c r="N20" i="3"/>
  <c r="W20" i="4"/>
  <c r="X28" i="3"/>
  <c r="AL30" i="4"/>
  <c r="X30" i="3"/>
  <c r="AB38" i="3"/>
  <c r="W8" i="23"/>
  <c r="AK8" i="23" s="1"/>
  <c r="AF8" i="23"/>
  <c r="Y22" i="22"/>
  <c r="P30" i="22"/>
  <c r="P33" i="22"/>
  <c r="P13" i="21"/>
  <c r="AF31" i="21"/>
  <c r="W31" i="21"/>
  <c r="AG12" i="20"/>
  <c r="AL12" i="20"/>
  <c r="G12" i="20"/>
  <c r="AK29" i="20"/>
  <c r="Y29" i="20"/>
  <c r="Y14" i="17"/>
  <c r="AK14" i="17"/>
  <c r="AG8" i="4"/>
  <c r="G8" i="3"/>
  <c r="F8" i="3"/>
  <c r="AL8" i="4"/>
  <c r="AL33" i="4"/>
  <c r="X33" i="3"/>
  <c r="AF8" i="21"/>
  <c r="W8" i="21"/>
  <c r="AK8" i="21" s="1"/>
  <c r="AL18" i="4"/>
  <c r="X18" i="3"/>
  <c r="AL18" i="3" s="1"/>
  <c r="AB28" i="3"/>
  <c r="W37" i="23"/>
  <c r="P37" i="23"/>
  <c r="AG33" i="16"/>
  <c r="AL33" i="16"/>
  <c r="G33" i="16"/>
  <c r="AF35" i="13"/>
  <c r="W35" i="13"/>
  <c r="AK35" i="13" s="1"/>
  <c r="AF15" i="22"/>
  <c r="W15" i="22"/>
  <c r="X38" i="3"/>
  <c r="W15" i="21"/>
  <c r="AK15" i="21" s="1"/>
  <c r="P15" i="21"/>
  <c r="AF22" i="11"/>
  <c r="W22" i="11"/>
  <c r="AK22" i="11" s="1"/>
  <c r="J9" i="3"/>
  <c r="AG15" i="4"/>
  <c r="G15" i="3"/>
  <c r="F15" i="3"/>
  <c r="AB18" i="3"/>
  <c r="AK19" i="4"/>
  <c r="W19" i="3"/>
  <c r="AK19" i="3" s="1"/>
  <c r="AL27" i="4"/>
  <c r="X27" i="3"/>
  <c r="W37" i="4"/>
  <c r="N37" i="3"/>
  <c r="AF37" i="4"/>
  <c r="AF14" i="20"/>
  <c r="W14" i="20"/>
  <c r="AK14" i="20" s="1"/>
  <c r="AG30" i="16"/>
  <c r="AL30" i="16"/>
  <c r="G30" i="16"/>
  <c r="AL38" i="15"/>
  <c r="AK9" i="4"/>
  <c r="AG10" i="4"/>
  <c r="G10" i="3"/>
  <c r="F10" i="3"/>
  <c r="AL11" i="4"/>
  <c r="G11" i="3"/>
  <c r="F11" i="3"/>
  <c r="AB11" i="3"/>
  <c r="AB12" i="3"/>
  <c r="AL14" i="4"/>
  <c r="F14" i="3"/>
  <c r="G14" i="3"/>
  <c r="G15" i="4"/>
  <c r="G16" i="4"/>
  <c r="G16" i="3"/>
  <c r="F16" i="3"/>
  <c r="AL16" i="3" s="1"/>
  <c r="AL17" i="4"/>
  <c r="G17" i="3"/>
  <c r="F17" i="3"/>
  <c r="AG18" i="4"/>
  <c r="G18" i="3"/>
  <c r="F18" i="3"/>
  <c r="G18" i="4"/>
  <c r="X26" i="3"/>
  <c r="AL26" i="3" s="1"/>
  <c r="P35" i="4"/>
  <c r="P37" i="4"/>
  <c r="P16" i="23"/>
  <c r="G35" i="23"/>
  <c r="Y36" i="23"/>
  <c r="AK36" i="23"/>
  <c r="Y35" i="22"/>
  <c r="AK35" i="22"/>
  <c r="AL8" i="20"/>
  <c r="AG8" i="20"/>
  <c r="G8" i="20"/>
  <c r="AF17" i="20"/>
  <c r="W17" i="20"/>
  <c r="AK17" i="20" s="1"/>
  <c r="W11" i="18"/>
  <c r="AF11" i="18"/>
  <c r="G23" i="15"/>
  <c r="AL23" i="15"/>
  <c r="AK31" i="4"/>
  <c r="Y6" i="4"/>
  <c r="X6" i="3"/>
  <c r="Y6" i="3"/>
  <c r="Y31" i="4"/>
  <c r="X31" i="3"/>
  <c r="AK31" i="17"/>
  <c r="Y31" i="17"/>
  <c r="G11" i="4"/>
  <c r="AG11" i="4"/>
  <c r="Y21" i="4"/>
  <c r="P23" i="4"/>
  <c r="X25" i="3"/>
  <c r="AK34" i="4"/>
  <c r="AK36" i="4"/>
  <c r="AF20" i="22"/>
  <c r="W20" i="22"/>
  <c r="AL26" i="22"/>
  <c r="AG26" i="22"/>
  <c r="G26" i="22"/>
  <c r="AF30" i="22"/>
  <c r="AF33" i="22"/>
  <c r="AL18" i="21"/>
  <c r="G18" i="21"/>
  <c r="AF23" i="21"/>
  <c r="W23" i="21"/>
  <c r="AK23" i="21" s="1"/>
  <c r="Y29" i="21"/>
  <c r="AL29" i="21"/>
  <c r="P17" i="20"/>
  <c r="AL38" i="7"/>
  <c r="G38" i="7"/>
  <c r="AG38" i="7"/>
  <c r="W8" i="22"/>
  <c r="P8" i="22"/>
  <c r="G25" i="21"/>
  <c r="AG25" i="21"/>
  <c r="J11" i="3"/>
  <c r="X21" i="3"/>
  <c r="AL24" i="4"/>
  <c r="X24" i="3"/>
  <c r="P32" i="4"/>
  <c r="S33" i="3"/>
  <c r="Y34" i="4"/>
  <c r="X34" i="3"/>
  <c r="Y19" i="23"/>
  <c r="AL19" i="23"/>
  <c r="AF27" i="23"/>
  <c r="W27" i="23"/>
  <c r="AK27" i="23" s="1"/>
  <c r="AF28" i="23"/>
  <c r="W28" i="23"/>
  <c r="AK28" i="23" s="1"/>
  <c r="AG16" i="22"/>
  <c r="AL16" i="22"/>
  <c r="G16" i="22"/>
  <c r="G25" i="22"/>
  <c r="AL27" i="21"/>
  <c r="Y36" i="21"/>
  <c r="AL13" i="15"/>
  <c r="AG12" i="16"/>
  <c r="G12" i="16"/>
  <c r="G26" i="16"/>
  <c r="AL26" i="16"/>
  <c r="AB6" i="3"/>
  <c r="J8" i="3"/>
  <c r="AF10" i="4"/>
  <c r="N10" i="3"/>
  <c r="AG12" i="4"/>
  <c r="F12" i="3"/>
  <c r="AL12" i="3" s="1"/>
  <c r="G12" i="3"/>
  <c r="G13" i="4"/>
  <c r="G13" i="3"/>
  <c r="F13" i="3"/>
  <c r="N14" i="3"/>
  <c r="J15" i="3"/>
  <c r="J16" i="3"/>
  <c r="J17" i="3"/>
  <c r="AG19" i="4"/>
  <c r="G19" i="3"/>
  <c r="F19" i="3"/>
  <c r="X19" i="3"/>
  <c r="AB21" i="3"/>
  <c r="X22" i="3"/>
  <c r="X23" i="3"/>
  <c r="AB24" i="3"/>
  <c r="AG26" i="4"/>
  <c r="G26" i="3"/>
  <c r="AB26" i="3"/>
  <c r="AL29" i="4"/>
  <c r="X29" i="3"/>
  <c r="AB30" i="3"/>
  <c r="AB31" i="3"/>
  <c r="AL32" i="4"/>
  <c r="X32" i="3"/>
  <c r="AB33" i="3"/>
  <c r="AB34" i="3"/>
  <c r="AL35" i="4"/>
  <c r="X35" i="3"/>
  <c r="X36" i="3"/>
  <c r="AG38" i="4"/>
  <c r="F38" i="3"/>
  <c r="G38" i="3"/>
  <c r="AK11" i="23"/>
  <c r="AL12" i="23"/>
  <c r="AF18" i="23"/>
  <c r="AK22" i="23"/>
  <c r="AL23" i="23"/>
  <c r="P28" i="23"/>
  <c r="AF30" i="23"/>
  <c r="AF31" i="23"/>
  <c r="AL10" i="22"/>
  <c r="AG10" i="22"/>
  <c r="AF13" i="22"/>
  <c r="AF22" i="22"/>
  <c r="AL31" i="22"/>
  <c r="AG33" i="21"/>
  <c r="AL33" i="21"/>
  <c r="AL35" i="21"/>
  <c r="AF9" i="20"/>
  <c r="AF22" i="20"/>
  <c r="W22" i="20"/>
  <c r="AK22" i="20" s="1"/>
  <c r="P26" i="20"/>
  <c r="AF32" i="19"/>
  <c r="AL25" i="18"/>
  <c r="G29" i="18"/>
  <c r="AL29" i="18"/>
  <c r="Y31" i="18"/>
  <c r="AF38" i="15"/>
  <c r="W38" i="15"/>
  <c r="AK38" i="15" s="1"/>
  <c r="AF19" i="14"/>
  <c r="W19" i="14"/>
  <c r="AK19" i="14" s="1"/>
  <c r="AF20" i="14"/>
  <c r="W20" i="14"/>
  <c r="AK20" i="14" s="1"/>
  <c r="AG11" i="12"/>
  <c r="G11" i="12"/>
  <c r="AG16" i="10"/>
  <c r="G16" i="10"/>
  <c r="AL16" i="10"/>
  <c r="AG35" i="14"/>
  <c r="G35" i="14"/>
  <c r="N8" i="3"/>
  <c r="G9" i="3"/>
  <c r="F9" i="3"/>
  <c r="W11" i="4"/>
  <c r="N11" i="3"/>
  <c r="S39" i="3" s="1"/>
  <c r="J13" i="3"/>
  <c r="P14" i="4"/>
  <c r="W15" i="4"/>
  <c r="N15" i="3"/>
  <c r="AF16" i="4"/>
  <c r="N16" i="3"/>
  <c r="AF16" i="3" s="1"/>
  <c r="N17" i="3"/>
  <c r="AF17" i="3" s="1"/>
  <c r="J18" i="3"/>
  <c r="P20" i="4"/>
  <c r="AG21" i="4"/>
  <c r="G21" i="3"/>
  <c r="F21" i="3"/>
  <c r="AL22" i="4"/>
  <c r="F22" i="3"/>
  <c r="AL22" i="3" s="1"/>
  <c r="G22" i="3"/>
  <c r="AB22" i="3"/>
  <c r="AB23" i="3"/>
  <c r="AL25" i="4"/>
  <c r="G25" i="3"/>
  <c r="F25" i="3"/>
  <c r="J26" i="3"/>
  <c r="AL28" i="4"/>
  <c r="F28" i="3"/>
  <c r="AG28" i="3" s="1"/>
  <c r="G28" i="3"/>
  <c r="AG29" i="4"/>
  <c r="G29" i="3"/>
  <c r="F29" i="3"/>
  <c r="AB32" i="3"/>
  <c r="AB36" i="3"/>
  <c r="P11" i="23"/>
  <c r="AL14" i="23"/>
  <c r="G17" i="23"/>
  <c r="AF19" i="23"/>
  <c r="P22" i="23"/>
  <c r="AG32" i="23"/>
  <c r="Y33" i="23"/>
  <c r="AF11" i="22"/>
  <c r="AG14" i="22"/>
  <c r="G31" i="22"/>
  <c r="AF21" i="21"/>
  <c r="P32" i="21"/>
  <c r="AL37" i="21"/>
  <c r="AF38" i="21"/>
  <c r="G16" i="20"/>
  <c r="AG23" i="17"/>
  <c r="AL23" i="17"/>
  <c r="G23" i="17"/>
  <c r="AF27" i="17"/>
  <c r="W27" i="17"/>
  <c r="AG16" i="16"/>
  <c r="AL16" i="16"/>
  <c r="G16" i="16"/>
  <c r="G23" i="16"/>
  <c r="AL23" i="16"/>
  <c r="Y17" i="15"/>
  <c r="AK17" i="15"/>
  <c r="AL29" i="15"/>
  <c r="AG29" i="15"/>
  <c r="G29" i="15"/>
  <c r="AF8" i="8"/>
  <c r="W8" i="8"/>
  <c r="AK8" i="8" s="1"/>
  <c r="AG17" i="8"/>
  <c r="AL17" i="8"/>
  <c r="P8" i="4"/>
  <c r="Y9" i="4"/>
  <c r="X9" i="3"/>
  <c r="P11" i="4"/>
  <c r="W12" i="4"/>
  <c r="N12" i="3"/>
  <c r="AF13" i="4"/>
  <c r="N13" i="3"/>
  <c r="AK14" i="4"/>
  <c r="P16" i="4"/>
  <c r="O16" i="3"/>
  <c r="P16" i="3"/>
  <c r="P17" i="4"/>
  <c r="P17" i="3"/>
  <c r="W18" i="4"/>
  <c r="Y18" i="3" s="1"/>
  <c r="N18" i="3"/>
  <c r="J19" i="3"/>
  <c r="J21" i="3"/>
  <c r="J25" i="3"/>
  <c r="N26" i="3"/>
  <c r="J28" i="3"/>
  <c r="G30" i="4"/>
  <c r="F30" i="3"/>
  <c r="G30" i="3"/>
  <c r="AL31" i="4"/>
  <c r="G31" i="3"/>
  <c r="F31" i="3"/>
  <c r="AG32" i="4"/>
  <c r="G32" i="3"/>
  <c r="F32" i="3"/>
  <c r="AL32" i="3" s="1"/>
  <c r="G33" i="4"/>
  <c r="G33" i="3"/>
  <c r="F33" i="3"/>
  <c r="AL34" i="4"/>
  <c r="G34" i="3"/>
  <c r="F34" i="3"/>
  <c r="AG35" i="4"/>
  <c r="G35" i="3"/>
  <c r="F35" i="3"/>
  <c r="G36" i="4"/>
  <c r="F36" i="3"/>
  <c r="G36" i="3"/>
  <c r="AF38" i="4"/>
  <c r="N38" i="3"/>
  <c r="AF38" i="3" s="1"/>
  <c r="Y8" i="23"/>
  <c r="AL26" i="23"/>
  <c r="Y28" i="23"/>
  <c r="AG28" i="22"/>
  <c r="R39" i="20"/>
  <c r="G31" i="20"/>
  <c r="AL31" i="20"/>
  <c r="AG33" i="20"/>
  <c r="AL33" i="20"/>
  <c r="G33" i="20"/>
  <c r="AF36" i="19"/>
  <c r="W36" i="19"/>
  <c r="AK36" i="19" s="1"/>
  <c r="AF31" i="18"/>
  <c r="G21" i="17"/>
  <c r="AL21" i="17"/>
  <c r="AG38" i="17"/>
  <c r="AL21" i="16"/>
  <c r="G21" i="16"/>
  <c r="P26" i="16"/>
  <c r="AF13" i="15"/>
  <c r="W13" i="15"/>
  <c r="AK13" i="15" s="1"/>
  <c r="W25" i="15"/>
  <c r="AK25" i="15" s="1"/>
  <c r="AF25" i="15"/>
  <c r="Y22" i="9"/>
  <c r="Y19" i="15"/>
  <c r="AK19" i="15"/>
  <c r="F26" i="3"/>
  <c r="AB9" i="3"/>
  <c r="Y14" i="4"/>
  <c r="X14" i="3"/>
  <c r="AL14" i="3" s="1"/>
  <c r="AK17" i="4"/>
  <c r="N28" i="3"/>
  <c r="J34" i="3"/>
  <c r="G37" i="3"/>
  <c r="F37" i="3"/>
  <c r="AL37" i="3" s="1"/>
  <c r="Y37" i="3"/>
  <c r="X37" i="3"/>
  <c r="P38" i="4"/>
  <c r="AG14" i="23"/>
  <c r="AG20" i="23"/>
  <c r="AG25" i="23"/>
  <c r="AG17" i="22"/>
  <c r="Y15" i="21"/>
  <c r="AG30" i="21"/>
  <c r="AL30" i="21"/>
  <c r="G24" i="20"/>
  <c r="AL24" i="20"/>
  <c r="AK37" i="20"/>
  <c r="Y37" i="20"/>
  <c r="AF30" i="18"/>
  <c r="W30" i="18"/>
  <c r="AK30" i="18" s="1"/>
  <c r="Y26" i="17"/>
  <c r="AK26" i="17"/>
  <c r="W15" i="16"/>
  <c r="Y15" i="16" s="1"/>
  <c r="AF15" i="16"/>
  <c r="W18" i="16"/>
  <c r="AF18" i="16"/>
  <c r="Y32" i="16"/>
  <c r="P13" i="15"/>
  <c r="AG16" i="13"/>
  <c r="AL16" i="13"/>
  <c r="W27" i="13"/>
  <c r="AF27" i="13"/>
  <c r="Y14" i="15"/>
  <c r="AK14" i="15"/>
  <c r="J22" i="3"/>
  <c r="AG23" i="4"/>
  <c r="G23" i="3"/>
  <c r="F23" i="3"/>
  <c r="G24" i="4"/>
  <c r="G24" i="3"/>
  <c r="W25" i="4"/>
  <c r="N25" i="3"/>
  <c r="P26" i="4"/>
  <c r="G27" i="4"/>
  <c r="G27" i="3"/>
  <c r="F27" i="3"/>
  <c r="J30" i="3"/>
  <c r="Y7" i="4"/>
  <c r="X7" i="3"/>
  <c r="Y7" i="3"/>
  <c r="AF9" i="4"/>
  <c r="N9" i="3"/>
  <c r="X10" i="3"/>
  <c r="AL10" i="3" s="1"/>
  <c r="AL16" i="4"/>
  <c r="X16" i="3"/>
  <c r="Y17" i="4"/>
  <c r="X17" i="3"/>
  <c r="AL17" i="3" s="1"/>
  <c r="P19" i="4"/>
  <c r="F20" i="3"/>
  <c r="G20" i="3"/>
  <c r="P21" i="4"/>
  <c r="P21" i="3"/>
  <c r="W22" i="4"/>
  <c r="Y22" i="3" s="1"/>
  <c r="N22" i="3"/>
  <c r="J24" i="3"/>
  <c r="P25" i="4"/>
  <c r="O25" i="3"/>
  <c r="P25" i="3"/>
  <c r="J27" i="3"/>
  <c r="P28" i="4"/>
  <c r="W29" i="4"/>
  <c r="N29" i="3"/>
  <c r="AF29" i="3" s="1"/>
  <c r="AF30" i="4"/>
  <c r="N30" i="3"/>
  <c r="N31" i="3"/>
  <c r="AF31" i="3" s="1"/>
  <c r="J32" i="3"/>
  <c r="AF33" i="4"/>
  <c r="N33" i="3"/>
  <c r="N34" i="3"/>
  <c r="AF34" i="3" s="1"/>
  <c r="N36" i="3"/>
  <c r="G37" i="4"/>
  <c r="AB37" i="3"/>
  <c r="S38" i="3"/>
  <c r="G14" i="23"/>
  <c r="P17" i="23"/>
  <c r="AL21" i="23"/>
  <c r="G25" i="23"/>
  <c r="AG33" i="23"/>
  <c r="W38" i="23"/>
  <c r="AK38" i="23" s="1"/>
  <c r="P11" i="22"/>
  <c r="G15" i="22"/>
  <c r="G17" i="22"/>
  <c r="AL17" i="22"/>
  <c r="AG23" i="22"/>
  <c r="P31" i="22"/>
  <c r="P32" i="22"/>
  <c r="P35" i="22"/>
  <c r="G36" i="22"/>
  <c r="P38" i="22"/>
  <c r="AG18" i="21"/>
  <c r="P19" i="21"/>
  <c r="G20" i="21"/>
  <c r="AG29" i="21"/>
  <c r="W32" i="21"/>
  <c r="AK32" i="21" s="1"/>
  <c r="P34" i="21"/>
  <c r="P36" i="21"/>
  <c r="Y11" i="20"/>
  <c r="P13" i="20"/>
  <c r="P16" i="20"/>
  <c r="G17" i="20"/>
  <c r="Y17" i="20"/>
  <c r="AG23" i="20"/>
  <c r="AL23" i="20"/>
  <c r="G23" i="20"/>
  <c r="AF34" i="20"/>
  <c r="AL12" i="19"/>
  <c r="G12" i="19"/>
  <c r="Y29" i="19"/>
  <c r="AL15" i="18"/>
  <c r="G15" i="18"/>
  <c r="P25" i="18"/>
  <c r="AG25" i="18"/>
  <c r="AF22" i="17"/>
  <c r="W22" i="17"/>
  <c r="AK22" i="17" s="1"/>
  <c r="Y29" i="16"/>
  <c r="W37" i="16"/>
  <c r="AF37" i="16"/>
  <c r="W12" i="15"/>
  <c r="AK12" i="15" s="1"/>
  <c r="AL32" i="12"/>
  <c r="AL34" i="12"/>
  <c r="Y34" i="12"/>
  <c r="W10" i="11"/>
  <c r="AF10" i="11"/>
  <c r="Y17" i="11"/>
  <c r="G25" i="11"/>
  <c r="AL25" i="11"/>
  <c r="AG25" i="11"/>
  <c r="Y31" i="11"/>
  <c r="AG27" i="15"/>
  <c r="AL27" i="15"/>
  <c r="G27" i="15"/>
  <c r="AK10" i="4"/>
  <c r="P12" i="4"/>
  <c r="O12" i="3"/>
  <c r="N19" i="3"/>
  <c r="AF21" i="4"/>
  <c r="N21" i="3"/>
  <c r="J29" i="3"/>
  <c r="J33" i="3"/>
  <c r="Y8" i="4"/>
  <c r="W8" i="3"/>
  <c r="AK8" i="3" s="1"/>
  <c r="AL13" i="4"/>
  <c r="X13" i="3"/>
  <c r="AB7" i="3"/>
  <c r="Y8" i="3"/>
  <c r="X8" i="3"/>
  <c r="AL8" i="3" s="1"/>
  <c r="AL9" i="4"/>
  <c r="AB10" i="3"/>
  <c r="X11" i="3"/>
  <c r="X12" i="3"/>
  <c r="AB13" i="3"/>
  <c r="AF14" i="4"/>
  <c r="AL15" i="4"/>
  <c r="X15" i="3"/>
  <c r="AB17" i="3"/>
  <c r="G20" i="4"/>
  <c r="X20" i="3"/>
  <c r="P22" i="4"/>
  <c r="W23" i="4"/>
  <c r="W23" i="3" s="1"/>
  <c r="AK23" i="3" s="1"/>
  <c r="N23" i="3"/>
  <c r="AF23" i="3" s="1"/>
  <c r="AF24" i="4"/>
  <c r="N24" i="3"/>
  <c r="S25" i="3"/>
  <c r="W26" i="4"/>
  <c r="AF27" i="4"/>
  <c r="N27" i="3"/>
  <c r="W28" i="4"/>
  <c r="Y28" i="3" s="1"/>
  <c r="O29" i="3"/>
  <c r="P30" i="4"/>
  <c r="P30" i="3"/>
  <c r="O30" i="3"/>
  <c r="P31" i="4"/>
  <c r="W32" i="4"/>
  <c r="Y32" i="3" s="1"/>
  <c r="N32" i="3"/>
  <c r="P33" i="4"/>
  <c r="O33" i="3"/>
  <c r="P33" i="3"/>
  <c r="P34" i="4"/>
  <c r="W35" i="4"/>
  <c r="Y35" i="3" s="1"/>
  <c r="N35" i="3"/>
  <c r="P36" i="4"/>
  <c r="J37" i="3"/>
  <c r="W38" i="4"/>
  <c r="W9" i="22"/>
  <c r="AK9" i="22" s="1"/>
  <c r="P19" i="22"/>
  <c r="G33" i="22"/>
  <c r="G24" i="21"/>
  <c r="AL24" i="21"/>
  <c r="AL28" i="21"/>
  <c r="Y38" i="21"/>
  <c r="W15" i="20"/>
  <c r="Y15" i="20" s="1"/>
  <c r="Y18" i="20"/>
  <c r="AF30" i="20"/>
  <c r="W30" i="20"/>
  <c r="AL34" i="20"/>
  <c r="W14" i="19"/>
  <c r="AK14" i="19" s="1"/>
  <c r="AF14" i="19"/>
  <c r="AF17" i="19"/>
  <c r="W17" i="19"/>
  <c r="AK17" i="19" s="1"/>
  <c r="AG29" i="19"/>
  <c r="G29" i="19"/>
  <c r="Y30" i="19"/>
  <c r="Y35" i="19"/>
  <c r="G11" i="18"/>
  <c r="AL11" i="18"/>
  <c r="AF12" i="18"/>
  <c r="W12" i="18"/>
  <c r="AK12" i="18" s="1"/>
  <c r="AK35" i="18"/>
  <c r="Y35" i="18"/>
  <c r="Y17" i="17"/>
  <c r="AG28" i="16"/>
  <c r="G28" i="16"/>
  <c r="AF32" i="16"/>
  <c r="AF9" i="14"/>
  <c r="W9" i="14"/>
  <c r="W9" i="3" s="1"/>
  <c r="AK9" i="3" s="1"/>
  <c r="AG22" i="12"/>
  <c r="G22" i="12"/>
  <c r="AF28" i="11"/>
  <c r="W28" i="11"/>
  <c r="AF20" i="20"/>
  <c r="AL11" i="19"/>
  <c r="AF15" i="19"/>
  <c r="P17" i="19"/>
  <c r="Y23" i="19"/>
  <c r="Y24" i="19"/>
  <c r="AL25" i="19"/>
  <c r="P32" i="19"/>
  <c r="Y23" i="18"/>
  <c r="P30" i="18"/>
  <c r="P34" i="18"/>
  <c r="P35" i="18"/>
  <c r="AG12" i="17"/>
  <c r="P16" i="17"/>
  <c r="Y21" i="17"/>
  <c r="P22" i="17"/>
  <c r="AF25" i="17"/>
  <c r="Y12" i="16"/>
  <c r="W16" i="16"/>
  <c r="AK16" i="16" s="1"/>
  <c r="AF22" i="16"/>
  <c r="Y24" i="16"/>
  <c r="AF27" i="16"/>
  <c r="P32" i="16"/>
  <c r="W33" i="16"/>
  <c r="AK33" i="16" s="1"/>
  <c r="AG15" i="15"/>
  <c r="Y16" i="15"/>
  <c r="AF23" i="15"/>
  <c r="AL26" i="15"/>
  <c r="W30" i="15"/>
  <c r="AK30" i="15" s="1"/>
  <c r="AF33" i="15"/>
  <c r="P19" i="14"/>
  <c r="W27" i="14"/>
  <c r="AK27" i="14" s="1"/>
  <c r="AF27" i="14"/>
  <c r="Y37" i="14"/>
  <c r="AK37" i="14"/>
  <c r="AL22" i="13"/>
  <c r="G22" i="13"/>
  <c r="Y24" i="13"/>
  <c r="W28" i="12"/>
  <c r="P28" i="12"/>
  <c r="AG37" i="11"/>
  <c r="G37" i="11"/>
  <c r="AL38" i="11"/>
  <c r="AL14" i="10"/>
  <c r="W27" i="8"/>
  <c r="AK27" i="8" s="1"/>
  <c r="AF27" i="8"/>
  <c r="P19" i="20"/>
  <c r="AG31" i="20"/>
  <c r="Y12" i="19"/>
  <c r="AL15" i="19"/>
  <c r="AL16" i="19"/>
  <c r="AL20" i="19"/>
  <c r="AF23" i="19"/>
  <c r="AG25" i="19"/>
  <c r="AL30" i="19"/>
  <c r="Y33" i="19"/>
  <c r="AG36" i="19"/>
  <c r="P14" i="18"/>
  <c r="AL17" i="18"/>
  <c r="W19" i="18"/>
  <c r="AK19" i="18" s="1"/>
  <c r="AL22" i="18"/>
  <c r="W26" i="18"/>
  <c r="AK26" i="18" s="1"/>
  <c r="P28" i="18"/>
  <c r="P31" i="18"/>
  <c r="AG31" i="18"/>
  <c r="AF38" i="18"/>
  <c r="W13" i="17"/>
  <c r="P14" i="17"/>
  <c r="W24" i="17"/>
  <c r="P27" i="17"/>
  <c r="P30" i="17"/>
  <c r="P15" i="16"/>
  <c r="P18" i="16"/>
  <c r="P37" i="16"/>
  <c r="AG38" i="16"/>
  <c r="P25" i="15"/>
  <c r="Y27" i="15"/>
  <c r="P32" i="15"/>
  <c r="W8" i="14"/>
  <c r="AK8" i="14" s="1"/>
  <c r="AG29" i="14"/>
  <c r="G29" i="14"/>
  <c r="AG36" i="14"/>
  <c r="AF28" i="13"/>
  <c r="W28" i="13"/>
  <c r="AL12" i="12"/>
  <c r="G12" i="12"/>
  <c r="G16" i="12"/>
  <c r="AL16" i="12"/>
  <c r="P22" i="11"/>
  <c r="AL32" i="11"/>
  <c r="AL35" i="10"/>
  <c r="G35" i="10"/>
  <c r="Y8" i="9"/>
  <c r="Y12" i="9"/>
  <c r="AK18" i="9"/>
  <c r="Y18" i="9"/>
  <c r="AG30" i="9"/>
  <c r="AF38" i="9"/>
  <c r="W38" i="9"/>
  <c r="AL23" i="6"/>
  <c r="G23" i="6"/>
  <c r="AK38" i="6"/>
  <c r="Y38" i="6"/>
  <c r="W30" i="5"/>
  <c r="AK30" i="5" s="1"/>
  <c r="AF30" i="5"/>
  <c r="P20" i="20"/>
  <c r="Y25" i="20"/>
  <c r="P27" i="20"/>
  <c r="G28" i="20"/>
  <c r="Y28" i="20"/>
  <c r="P29" i="20"/>
  <c r="G30" i="20"/>
  <c r="P11" i="19"/>
  <c r="AG16" i="19"/>
  <c r="G20" i="19"/>
  <c r="AG31" i="19"/>
  <c r="G33" i="19"/>
  <c r="P36" i="19"/>
  <c r="P9" i="18"/>
  <c r="AL24" i="18"/>
  <c r="AF25" i="18"/>
  <c r="Y26" i="18"/>
  <c r="W27" i="18"/>
  <c r="AK27" i="18" s="1"/>
  <c r="Y30" i="18"/>
  <c r="Y22" i="17"/>
  <c r="W9" i="16"/>
  <c r="AK9" i="16" s="1"/>
  <c r="AG14" i="16"/>
  <c r="G19" i="16"/>
  <c r="W20" i="16"/>
  <c r="AL31" i="16"/>
  <c r="G38" i="16"/>
  <c r="G24" i="15"/>
  <c r="G35" i="15"/>
  <c r="AG37" i="15"/>
  <c r="G8" i="14"/>
  <c r="AG8" i="14"/>
  <c r="AF17" i="13"/>
  <c r="W17" i="13"/>
  <c r="AK17" i="13" s="1"/>
  <c r="AL10" i="12"/>
  <c r="G13" i="12"/>
  <c r="AL13" i="12"/>
  <c r="AG13" i="12"/>
  <c r="W25" i="12"/>
  <c r="AK25" i="12" s="1"/>
  <c r="AF25" i="12"/>
  <c r="W33" i="12"/>
  <c r="AK33" i="12" s="1"/>
  <c r="AF33" i="12"/>
  <c r="AL13" i="11"/>
  <c r="AF16" i="9"/>
  <c r="W16" i="9"/>
  <c r="AK16" i="9" s="1"/>
  <c r="W22" i="9"/>
  <c r="AK22" i="9" s="1"/>
  <c r="AF22" i="9"/>
  <c r="AF15" i="8"/>
  <c r="W15" i="8"/>
  <c r="AK15" i="8" s="1"/>
  <c r="AF19" i="8"/>
  <c r="W19" i="8"/>
  <c r="AK19" i="8" s="1"/>
  <c r="Y22" i="20"/>
  <c r="G25" i="20"/>
  <c r="G16" i="19"/>
  <c r="G31" i="19"/>
  <c r="AG32" i="19"/>
  <c r="P35" i="19"/>
  <c r="AG29" i="18"/>
  <c r="AL10" i="17"/>
  <c r="AG33" i="17"/>
  <c r="AL10" i="16"/>
  <c r="W11" i="16"/>
  <c r="AK11" i="16" s="1"/>
  <c r="AG19" i="16"/>
  <c r="G25" i="16"/>
  <c r="W15" i="15"/>
  <c r="AK15" i="15" s="1"/>
  <c r="AF30" i="14"/>
  <c r="W30" i="14"/>
  <c r="AK30" i="14" s="1"/>
  <c r="AL34" i="13"/>
  <c r="W30" i="12"/>
  <c r="AK30" i="12" s="1"/>
  <c r="AF30" i="12"/>
  <c r="AF17" i="11"/>
  <c r="W17" i="11"/>
  <c r="AK17" i="11" s="1"/>
  <c r="W34" i="11"/>
  <c r="AK34" i="11" s="1"/>
  <c r="AF34" i="11"/>
  <c r="AF14" i="10"/>
  <c r="W14" i="10"/>
  <c r="AK14" i="10" s="1"/>
  <c r="Y17" i="10"/>
  <c r="W18" i="10"/>
  <c r="AK18" i="10" s="1"/>
  <c r="AK37" i="10"/>
  <c r="AL11" i="9"/>
  <c r="AG11" i="9"/>
  <c r="AG9" i="8"/>
  <c r="G9" i="8"/>
  <c r="AL10" i="8"/>
  <c r="G10" i="8"/>
  <c r="AG10" i="8"/>
  <c r="W37" i="6"/>
  <c r="P37" i="6"/>
  <c r="AF37" i="6"/>
  <c r="P8" i="19"/>
  <c r="Y10" i="19"/>
  <c r="AL13" i="19"/>
  <c r="G32" i="19"/>
  <c r="AL35" i="19"/>
  <c r="AG15" i="18"/>
  <c r="AL18" i="18"/>
  <c r="AL27" i="18"/>
  <c r="P29" i="18"/>
  <c r="AG30" i="18"/>
  <c r="Y32" i="18"/>
  <c r="G34" i="18"/>
  <c r="AG11" i="17"/>
  <c r="G22" i="17"/>
  <c r="AG9" i="16"/>
  <c r="AG11" i="16"/>
  <c r="AL14" i="16"/>
  <c r="AF25" i="16"/>
  <c r="G32" i="16"/>
  <c r="AG34" i="16"/>
  <c r="Y34" i="16"/>
  <c r="AG36" i="16"/>
  <c r="W8" i="15"/>
  <c r="AL12" i="15"/>
  <c r="AL24" i="15"/>
  <c r="Y26" i="15"/>
  <c r="P29" i="15"/>
  <c r="AK31" i="15"/>
  <c r="W36" i="15"/>
  <c r="AK36" i="15" s="1"/>
  <c r="AF36" i="15"/>
  <c r="Y38" i="15"/>
  <c r="AG18" i="14"/>
  <c r="G18" i="14"/>
  <c r="AL19" i="14"/>
  <c r="AG19" i="14"/>
  <c r="G19" i="14"/>
  <c r="Y20" i="14"/>
  <c r="P33" i="14"/>
  <c r="AG33" i="14"/>
  <c r="AF9" i="13"/>
  <c r="W9" i="13"/>
  <c r="AK9" i="13" s="1"/>
  <c r="AF10" i="12"/>
  <c r="W10" i="12"/>
  <c r="AK10" i="12" s="1"/>
  <c r="Y23" i="12"/>
  <c r="P30" i="12"/>
  <c r="Y9" i="10"/>
  <c r="AL28" i="10"/>
  <c r="P16" i="9"/>
  <c r="P15" i="8"/>
  <c r="AL19" i="20"/>
  <c r="P30" i="20"/>
  <c r="W32" i="20"/>
  <c r="Y32" i="20" s="1"/>
  <c r="G13" i="19"/>
  <c r="AF18" i="19"/>
  <c r="W19" i="19"/>
  <c r="AK19" i="19" s="1"/>
  <c r="AG16" i="18"/>
  <c r="G27" i="18"/>
  <c r="AL22" i="17"/>
  <c r="AG24" i="17"/>
  <c r="Y25" i="17"/>
  <c r="P33" i="17"/>
  <c r="G9" i="16"/>
  <c r="G17" i="16"/>
  <c r="Y27" i="16"/>
  <c r="G34" i="16"/>
  <c r="AF10" i="15"/>
  <c r="AG13" i="15"/>
  <c r="G15" i="15"/>
  <c r="P17" i="15"/>
  <c r="AG18" i="15"/>
  <c r="P30" i="15"/>
  <c r="Y33" i="15"/>
  <c r="P35" i="15"/>
  <c r="P36" i="15"/>
  <c r="AL8" i="14"/>
  <c r="Y31" i="14"/>
  <c r="W10" i="13"/>
  <c r="AK10" i="13" s="1"/>
  <c r="AF10" i="13"/>
  <c r="AF15" i="13"/>
  <c r="Y38" i="13"/>
  <c r="AG20" i="11"/>
  <c r="AG21" i="11"/>
  <c r="AL21" i="11"/>
  <c r="AF31" i="11"/>
  <c r="W31" i="11"/>
  <c r="AK31" i="11" s="1"/>
  <c r="AG8" i="10"/>
  <c r="G8" i="10"/>
  <c r="Y35" i="10"/>
  <c r="AF9" i="8"/>
  <c r="W9" i="8"/>
  <c r="AK9" i="8" s="1"/>
  <c r="W10" i="8"/>
  <c r="AK10" i="8" s="1"/>
  <c r="AF10" i="8"/>
  <c r="AF12" i="8"/>
  <c r="W12" i="8"/>
  <c r="AK12" i="8" s="1"/>
  <c r="AG34" i="8"/>
  <c r="AL13" i="7"/>
  <c r="AG13" i="7"/>
  <c r="G13" i="7"/>
  <c r="AG11" i="6"/>
  <c r="G11" i="6"/>
  <c r="AF17" i="6"/>
  <c r="W17" i="6"/>
  <c r="AK17" i="6" s="1"/>
  <c r="P38" i="15"/>
  <c r="AG16" i="14"/>
  <c r="P22" i="14"/>
  <c r="Y24" i="14"/>
  <c r="W36" i="14"/>
  <c r="AK36" i="14" s="1"/>
  <c r="AL21" i="13"/>
  <c r="Y22" i="13"/>
  <c r="AL37" i="13"/>
  <c r="W22" i="12"/>
  <c r="AK22" i="12" s="1"/>
  <c r="AL23" i="12"/>
  <c r="AG25" i="12"/>
  <c r="AL31" i="12"/>
  <c r="W32" i="12"/>
  <c r="AK32" i="12" s="1"/>
  <c r="AG35" i="12"/>
  <c r="P17" i="11"/>
  <c r="P31" i="11"/>
  <c r="W29" i="10"/>
  <c r="AK29" i="10" s="1"/>
  <c r="AL34" i="10"/>
  <c r="P37" i="10"/>
  <c r="AG37" i="10"/>
  <c r="P12" i="9"/>
  <c r="AL19" i="9"/>
  <c r="P22" i="9"/>
  <c r="P28" i="9"/>
  <c r="AL35" i="9"/>
  <c r="W36" i="9"/>
  <c r="AK36" i="9" s="1"/>
  <c r="AL21" i="8"/>
  <c r="AL35" i="8"/>
  <c r="G35" i="8"/>
  <c r="W19" i="7"/>
  <c r="AL20" i="6"/>
  <c r="AG20" i="6"/>
  <c r="G20" i="6"/>
  <c r="AL35" i="6"/>
  <c r="AF31" i="5"/>
  <c r="W31" i="5"/>
  <c r="AK31" i="5" s="1"/>
  <c r="Y11" i="14"/>
  <c r="Y13" i="14"/>
  <c r="W15" i="14"/>
  <c r="AK15" i="14" s="1"/>
  <c r="P20" i="14"/>
  <c r="Y21" i="14"/>
  <c r="AF24" i="14"/>
  <c r="W32" i="14"/>
  <c r="AK32" i="14" s="1"/>
  <c r="P9" i="13"/>
  <c r="AG15" i="13"/>
  <c r="Y16" i="13"/>
  <c r="W23" i="13"/>
  <c r="AK23" i="13" s="1"/>
  <c r="Y25" i="13"/>
  <c r="P27" i="13"/>
  <c r="Y33" i="13"/>
  <c r="AG34" i="13"/>
  <c r="AL38" i="13"/>
  <c r="P13" i="12"/>
  <c r="W23" i="12"/>
  <c r="AK23" i="12" s="1"/>
  <c r="W27" i="12"/>
  <c r="AK27" i="12" s="1"/>
  <c r="AG28" i="12"/>
  <c r="AL36" i="12"/>
  <c r="P10" i="11"/>
  <c r="P13" i="10"/>
  <c r="AG17" i="10"/>
  <c r="Y18" i="10"/>
  <c r="P20" i="10"/>
  <c r="P18" i="9"/>
  <c r="P26" i="9"/>
  <c r="Y28" i="9"/>
  <c r="P8" i="8"/>
  <c r="P27" i="8"/>
  <c r="AL35" i="7"/>
  <c r="P19" i="6"/>
  <c r="Y20" i="6"/>
  <c r="AK20" i="6"/>
  <c r="P31" i="5"/>
  <c r="AF35" i="5"/>
  <c r="AG15" i="14"/>
  <c r="G21" i="14"/>
  <c r="AG32" i="14"/>
  <c r="AG23" i="13"/>
  <c r="AL24" i="13"/>
  <c r="W31" i="13"/>
  <c r="AK31" i="13" s="1"/>
  <c r="P33" i="13"/>
  <c r="AL8" i="12"/>
  <c r="Y9" i="12"/>
  <c r="P11" i="12"/>
  <c r="G13" i="11"/>
  <c r="AL27" i="11"/>
  <c r="G9" i="10"/>
  <c r="P12" i="10"/>
  <c r="P15" i="10"/>
  <c r="AL17" i="10"/>
  <c r="P24" i="10"/>
  <c r="G29" i="10"/>
  <c r="AL38" i="10"/>
  <c r="Y13" i="9"/>
  <c r="G21" i="9"/>
  <c r="G33" i="9"/>
  <c r="Y37" i="9"/>
  <c r="Y13" i="8"/>
  <c r="Y18" i="8"/>
  <c r="AF21" i="6"/>
  <c r="W21" i="6"/>
  <c r="AK21" i="6" s="1"/>
  <c r="AG19" i="5"/>
  <c r="G19" i="5"/>
  <c r="AG24" i="12"/>
  <c r="AF34" i="12"/>
  <c r="Y8" i="11"/>
  <c r="Y29" i="11"/>
  <c r="Y34" i="11"/>
  <c r="AG38" i="11"/>
  <c r="W10" i="10"/>
  <c r="AK10" i="10" s="1"/>
  <c r="W15" i="10"/>
  <c r="AK15" i="10" s="1"/>
  <c r="P21" i="10"/>
  <c r="P25" i="10"/>
  <c r="P11" i="9"/>
  <c r="AG15" i="9"/>
  <c r="AL15" i="9"/>
  <c r="Y16" i="9"/>
  <c r="W30" i="9"/>
  <c r="AK30" i="9" s="1"/>
  <c r="AL36" i="9"/>
  <c r="Y24" i="8"/>
  <c r="AL26" i="8"/>
  <c r="Y27" i="8"/>
  <c r="AF10" i="7"/>
  <c r="W10" i="7"/>
  <c r="Y10" i="5"/>
  <c r="AL18" i="5"/>
  <c r="G18" i="5"/>
  <c r="P9" i="14"/>
  <c r="Y10" i="14"/>
  <c r="AL14" i="14"/>
  <c r="AL16" i="14"/>
  <c r="AL33" i="14"/>
  <c r="Y34" i="14"/>
  <c r="AL8" i="13"/>
  <c r="AG14" i="13"/>
  <c r="Y21" i="13"/>
  <c r="P22" i="13"/>
  <c r="AG26" i="13"/>
  <c r="AG30" i="13"/>
  <c r="P15" i="12"/>
  <c r="AG29" i="12"/>
  <c r="AG31" i="12"/>
  <c r="AG32" i="12"/>
  <c r="AG34" i="12"/>
  <c r="AL9" i="11"/>
  <c r="P12" i="11"/>
  <c r="AG14" i="11"/>
  <c r="G22" i="11"/>
  <c r="AL36" i="11"/>
  <c r="Y15" i="10"/>
  <c r="AG19" i="10"/>
  <c r="AL31" i="10"/>
  <c r="Y32" i="10"/>
  <c r="Y34" i="10"/>
  <c r="Y19" i="9"/>
  <c r="AL29" i="9"/>
  <c r="AL37" i="9"/>
  <c r="Y8" i="8"/>
  <c r="Y22" i="8"/>
  <c r="AK22" i="8"/>
  <c r="Y12" i="7"/>
  <c r="AF10" i="6"/>
  <c r="W10" i="6"/>
  <c r="AK10" i="6" s="1"/>
  <c r="Y21" i="6"/>
  <c r="AF14" i="5"/>
  <c r="W14" i="5"/>
  <c r="AK14" i="5" s="1"/>
  <c r="G10" i="14"/>
  <c r="AF11" i="14"/>
  <c r="W18" i="14"/>
  <c r="AK18" i="14" s="1"/>
  <c r="W29" i="14"/>
  <c r="AK29" i="14" s="1"/>
  <c r="AG37" i="14"/>
  <c r="AF12" i="13"/>
  <c r="G14" i="13"/>
  <c r="Y19" i="13"/>
  <c r="G26" i="13"/>
  <c r="G30" i="13"/>
  <c r="W34" i="13"/>
  <c r="AK34" i="13" s="1"/>
  <c r="P37" i="13"/>
  <c r="AL9" i="12"/>
  <c r="Y20" i="12"/>
  <c r="AL28" i="12"/>
  <c r="Y30" i="12"/>
  <c r="AG13" i="11"/>
  <c r="G20" i="11"/>
  <c r="W25" i="11"/>
  <c r="AK25" i="11" s="1"/>
  <c r="P26" i="11"/>
  <c r="AL37" i="11"/>
  <c r="P9" i="10"/>
  <c r="AF12" i="10"/>
  <c r="G19" i="10"/>
  <c r="AL20" i="10"/>
  <c r="W25" i="10"/>
  <c r="AK25" i="10" s="1"/>
  <c r="Y26" i="10"/>
  <c r="Y28" i="10"/>
  <c r="AG32" i="10"/>
  <c r="W10" i="9"/>
  <c r="AK10" i="9" s="1"/>
  <c r="AG16" i="9"/>
  <c r="G25" i="9"/>
  <c r="AG25" i="9"/>
  <c r="Y32" i="9"/>
  <c r="P35" i="9"/>
  <c r="AL38" i="9"/>
  <c r="AG15" i="8"/>
  <c r="P22" i="8"/>
  <c r="AF24" i="8"/>
  <c r="AG26" i="8"/>
  <c r="G26" i="8"/>
  <c r="W9" i="7"/>
  <c r="AK9" i="7" s="1"/>
  <c r="AF9" i="7"/>
  <c r="AF32" i="7"/>
  <c r="W32" i="7"/>
  <c r="AK32" i="7" s="1"/>
  <c r="AL15" i="6"/>
  <c r="AG15" i="6"/>
  <c r="G15" i="6"/>
  <c r="AL29" i="5"/>
  <c r="AG29" i="5"/>
  <c r="G29" i="5"/>
  <c r="AF36" i="5"/>
  <c r="W36" i="5"/>
  <c r="Y36" i="5" s="1"/>
  <c r="P17" i="8"/>
  <c r="W21" i="8"/>
  <c r="AK21" i="8" s="1"/>
  <c r="P24" i="8"/>
  <c r="AL28" i="8"/>
  <c r="AF35" i="8"/>
  <c r="Y16" i="7"/>
  <c r="W18" i="7"/>
  <c r="AK18" i="7" s="1"/>
  <c r="AF29" i="7"/>
  <c r="W31" i="7"/>
  <c r="AK31" i="7" s="1"/>
  <c r="AF37" i="7"/>
  <c r="Y15" i="6"/>
  <c r="Y32" i="6"/>
  <c r="AG37" i="6"/>
  <c r="W19" i="5"/>
  <c r="Y19" i="3" s="1"/>
  <c r="P30" i="5"/>
  <c r="P36" i="5"/>
  <c r="AG16" i="7"/>
  <c r="AL19" i="7"/>
  <c r="P33" i="7"/>
  <c r="Y16" i="6"/>
  <c r="P21" i="6"/>
  <c r="AG32" i="6"/>
  <c r="AF34" i="6"/>
  <c r="AL36" i="6"/>
  <c r="W17" i="5"/>
  <c r="AK17" i="5" s="1"/>
  <c r="AG28" i="5"/>
  <c r="W28" i="5"/>
  <c r="AK28" i="5" s="1"/>
  <c r="AG33" i="5"/>
  <c r="AF33" i="5"/>
  <c r="AG35" i="5"/>
  <c r="W11" i="7"/>
  <c r="AK11" i="7" s="1"/>
  <c r="Y20" i="7"/>
  <c r="W28" i="7"/>
  <c r="AK28" i="7" s="1"/>
  <c r="AL33" i="6"/>
  <c r="AG16" i="5"/>
  <c r="AF16" i="5"/>
  <c r="AG18" i="5"/>
  <c r="G25" i="5"/>
  <c r="G28" i="5"/>
  <c r="G33" i="5"/>
  <c r="AG34" i="5"/>
  <c r="AF16" i="8"/>
  <c r="Y19" i="8"/>
  <c r="W12" i="7"/>
  <c r="AK12" i="7" s="1"/>
  <c r="AF21" i="7"/>
  <c r="Y24" i="6"/>
  <c r="Y26" i="6"/>
  <c r="AL28" i="6"/>
  <c r="AG30" i="6"/>
  <c r="G9" i="5"/>
  <c r="G16" i="5"/>
  <c r="AG17" i="5"/>
  <c r="AL21" i="5"/>
  <c r="AF21" i="5"/>
  <c r="AG30" i="5"/>
  <c r="AG36" i="5"/>
  <c r="AF32" i="8"/>
  <c r="Y34" i="8"/>
  <c r="AK21" i="7"/>
  <c r="G32" i="7"/>
  <c r="P38" i="7"/>
  <c r="W14" i="6"/>
  <c r="AK14" i="6" s="1"/>
  <c r="G19" i="6"/>
  <c r="P20" i="6"/>
  <c r="P30" i="6"/>
  <c r="AG13" i="5"/>
  <c r="AG15" i="5"/>
  <c r="W18" i="5"/>
  <c r="AK18" i="5" s="1"/>
  <c r="P19" i="5"/>
  <c r="G30" i="5"/>
  <c r="AG31" i="5"/>
  <c r="AL34" i="5"/>
  <c r="P29" i="8"/>
  <c r="G34" i="8"/>
  <c r="AF38" i="8"/>
  <c r="AG22" i="7"/>
  <c r="Y29" i="7"/>
  <c r="Y37" i="7"/>
  <c r="AF8" i="6"/>
  <c r="AF24" i="6"/>
  <c r="AG10" i="5"/>
  <c r="C8" i="19"/>
  <c r="C8" i="12"/>
  <c r="C8" i="15"/>
  <c r="C8" i="6"/>
  <c r="C8" i="4"/>
  <c r="C8" i="13"/>
  <c r="C8" i="10"/>
  <c r="C8" i="9"/>
  <c r="U8" i="9" s="1"/>
  <c r="C8" i="21"/>
  <c r="C8" i="11"/>
  <c r="AG8" i="23"/>
  <c r="P8" i="23"/>
  <c r="Y37" i="4"/>
  <c r="P10" i="23"/>
  <c r="AG10" i="23"/>
  <c r="A8" i="23"/>
  <c r="C9" i="23"/>
  <c r="Y10" i="23"/>
  <c r="Y11" i="4"/>
  <c r="AG19" i="23"/>
  <c r="P19" i="23"/>
  <c r="AD8" i="20"/>
  <c r="AK12" i="4"/>
  <c r="Y12" i="4"/>
  <c r="Y25" i="4"/>
  <c r="AK25" i="23"/>
  <c r="Y25" i="23"/>
  <c r="W29" i="23"/>
  <c r="AK29" i="23" s="1"/>
  <c r="AF29" i="23"/>
  <c r="W14" i="22"/>
  <c r="AK14" i="22" s="1"/>
  <c r="AF14" i="22"/>
  <c r="P15" i="22"/>
  <c r="AG15" i="22"/>
  <c r="P21" i="22"/>
  <c r="W21" i="22"/>
  <c r="AK21" i="22" s="1"/>
  <c r="AF21" i="22"/>
  <c r="AG19" i="21"/>
  <c r="G19" i="21"/>
  <c r="AL19" i="21"/>
  <c r="AL22" i="21"/>
  <c r="G38" i="21"/>
  <c r="AL38" i="21"/>
  <c r="AK13" i="20"/>
  <c r="Y13" i="20"/>
  <c r="AL22" i="20"/>
  <c r="G22" i="20"/>
  <c r="AK28" i="18"/>
  <c r="Y28" i="18"/>
  <c r="W20" i="17"/>
  <c r="AK20" i="17" s="1"/>
  <c r="AF20" i="17"/>
  <c r="AF11" i="4"/>
  <c r="AL12" i="4"/>
  <c r="W13" i="4"/>
  <c r="G14" i="4"/>
  <c r="S14" i="4"/>
  <c r="Y15" i="4"/>
  <c r="W16" i="4"/>
  <c r="G17" i="4"/>
  <c r="S17" i="4"/>
  <c r="Y18" i="4"/>
  <c r="AF22" i="4"/>
  <c r="AL23" i="4"/>
  <c r="W24" i="4"/>
  <c r="G25" i="4"/>
  <c r="AF25" i="4"/>
  <c r="AL26" i="4"/>
  <c r="W27" i="4"/>
  <c r="Y27" i="3" s="1"/>
  <c r="G28" i="4"/>
  <c r="S28" i="4"/>
  <c r="Y29" i="4"/>
  <c r="W30" i="4"/>
  <c r="G31" i="4"/>
  <c r="S31" i="4"/>
  <c r="S31" i="3" s="1"/>
  <c r="W33" i="4"/>
  <c r="G34" i="4"/>
  <c r="S34" i="4"/>
  <c r="AG36" i="4"/>
  <c r="AF10" i="23"/>
  <c r="AL11" i="23"/>
  <c r="W12" i="23"/>
  <c r="AK12" i="23" s="1"/>
  <c r="G13" i="23"/>
  <c r="S13" i="23"/>
  <c r="Y14" i="23"/>
  <c r="AG15" i="23"/>
  <c r="Y17" i="23"/>
  <c r="AG18" i="23"/>
  <c r="AF21" i="23"/>
  <c r="AL22" i="23"/>
  <c r="W23" i="23"/>
  <c r="AK23" i="23" s="1"/>
  <c r="G24" i="23"/>
  <c r="S24" i="23"/>
  <c r="AL25" i="23"/>
  <c r="W26" i="23"/>
  <c r="AK26" i="23" s="1"/>
  <c r="AL30" i="23"/>
  <c r="Y31" i="23"/>
  <c r="O34" i="23"/>
  <c r="P34" i="23" s="1"/>
  <c r="S34" i="23"/>
  <c r="AG9" i="22"/>
  <c r="G9" i="22"/>
  <c r="AL9" i="22"/>
  <c r="Y9" i="22"/>
  <c r="W17" i="22"/>
  <c r="AK17" i="22" s="1"/>
  <c r="AF17" i="22"/>
  <c r="AK19" i="22"/>
  <c r="Y19" i="22"/>
  <c r="O20" i="22"/>
  <c r="P20" i="22" s="1"/>
  <c r="AL24" i="22"/>
  <c r="G24" i="22"/>
  <c r="AK30" i="22"/>
  <c r="Y30" i="22"/>
  <c r="AK37" i="22"/>
  <c r="AL9" i="21"/>
  <c r="O12" i="21"/>
  <c r="P12" i="21" s="1"/>
  <c r="S12" i="21"/>
  <c r="Y14" i="21"/>
  <c r="Y21" i="21"/>
  <c r="O26" i="21"/>
  <c r="P26" i="21" s="1"/>
  <c r="S26" i="21"/>
  <c r="AK36" i="21"/>
  <c r="W12" i="20"/>
  <c r="AK12" i="20" s="1"/>
  <c r="AF12" i="20"/>
  <c r="AF21" i="20"/>
  <c r="W21" i="20"/>
  <c r="AK21" i="20" s="1"/>
  <c r="AK30" i="20"/>
  <c r="Y30" i="20"/>
  <c r="AG35" i="20"/>
  <c r="Y35" i="20"/>
  <c r="AG25" i="4"/>
  <c r="AK9" i="23"/>
  <c r="Y20" i="23"/>
  <c r="Y38" i="23"/>
  <c r="AL25" i="21"/>
  <c r="AK31" i="21"/>
  <c r="Y31" i="21"/>
  <c r="P10" i="4"/>
  <c r="AL10" i="4"/>
  <c r="G12" i="4"/>
  <c r="O13" i="4"/>
  <c r="AG14" i="4"/>
  <c r="AG17" i="4"/>
  <c r="AL21" i="4"/>
  <c r="G23" i="4"/>
  <c r="O24" i="4"/>
  <c r="G26" i="4"/>
  <c r="O27" i="4"/>
  <c r="Y27" i="4"/>
  <c r="AG28" i="4"/>
  <c r="AG31" i="4"/>
  <c r="Y33" i="4"/>
  <c r="AG34" i="4"/>
  <c r="AL38" i="4"/>
  <c r="AL9" i="23"/>
  <c r="G11" i="23"/>
  <c r="Y12" i="23"/>
  <c r="AG13" i="23"/>
  <c r="AL20" i="23"/>
  <c r="W21" i="23"/>
  <c r="AK21" i="23" s="1"/>
  <c r="G22" i="23"/>
  <c r="Y23" i="23"/>
  <c r="AG24" i="23"/>
  <c r="S28" i="23"/>
  <c r="W32" i="23"/>
  <c r="AK32" i="23" s="1"/>
  <c r="AF32" i="23"/>
  <c r="AK34" i="23"/>
  <c r="Y34" i="23"/>
  <c r="W10" i="22"/>
  <c r="AK10" i="22" s="1"/>
  <c r="AF10" i="22"/>
  <c r="O13" i="22"/>
  <c r="P13" i="22" s="1"/>
  <c r="S13" i="22"/>
  <c r="P17" i="22"/>
  <c r="AK18" i="22"/>
  <c r="AG22" i="22"/>
  <c r="G22" i="22"/>
  <c r="AL22" i="22"/>
  <c r="AF25" i="22"/>
  <c r="AF26" i="22"/>
  <c r="W26" i="22"/>
  <c r="AK26" i="22" s="1"/>
  <c r="W34" i="22"/>
  <c r="AK34" i="22" s="1"/>
  <c r="AF34" i="22"/>
  <c r="AL38" i="22"/>
  <c r="Q39" i="22"/>
  <c r="AK12" i="21"/>
  <c r="Y12" i="21"/>
  <c r="AG13" i="21"/>
  <c r="Y17" i="21"/>
  <c r="P20" i="21"/>
  <c r="G21" i="21"/>
  <c r="AL21" i="21"/>
  <c r="AF22" i="21"/>
  <c r="P22" i="21"/>
  <c r="W22" i="21"/>
  <c r="AK22" i="21" s="1"/>
  <c r="W24" i="21"/>
  <c r="AK24" i="21" s="1"/>
  <c r="AF24" i="21"/>
  <c r="Y33" i="21"/>
  <c r="O38" i="21"/>
  <c r="P38" i="21" s="1"/>
  <c r="C8" i="20"/>
  <c r="U8" i="20" s="1"/>
  <c r="AF10" i="20"/>
  <c r="W10" i="20"/>
  <c r="AK10" i="20" s="1"/>
  <c r="O22" i="20"/>
  <c r="P22" i="20" s="1"/>
  <c r="S22" i="20"/>
  <c r="Y8" i="19"/>
  <c r="AL10" i="19"/>
  <c r="AG10" i="19"/>
  <c r="G10" i="19"/>
  <c r="W25" i="19"/>
  <c r="AF25" i="19"/>
  <c r="G27" i="19"/>
  <c r="AL27" i="19"/>
  <c r="O38" i="19"/>
  <c r="P38" i="19" s="1"/>
  <c r="S38" i="19"/>
  <c r="P15" i="4"/>
  <c r="P18" i="4"/>
  <c r="AK21" i="4"/>
  <c r="P25" i="23"/>
  <c r="P29" i="23"/>
  <c r="O27" i="22"/>
  <c r="P27" i="22" s="1"/>
  <c r="S27" i="22"/>
  <c r="Y29" i="22"/>
  <c r="AF11" i="21"/>
  <c r="W11" i="21"/>
  <c r="AK11" i="21" s="1"/>
  <c r="AL11" i="20"/>
  <c r="G11" i="20"/>
  <c r="AK16" i="20"/>
  <c r="Y16" i="20"/>
  <c r="AG20" i="20"/>
  <c r="G20" i="20"/>
  <c r="AL20" i="20"/>
  <c r="AL33" i="17"/>
  <c r="G33" i="17"/>
  <c r="AK8" i="4"/>
  <c r="Y19" i="4"/>
  <c r="Y15" i="23"/>
  <c r="Y18" i="23"/>
  <c r="AF25" i="23"/>
  <c r="P26" i="23"/>
  <c r="AL32" i="23"/>
  <c r="P10" i="22"/>
  <c r="P25" i="22"/>
  <c r="AK27" i="22"/>
  <c r="Y27" i="22"/>
  <c r="AG37" i="22"/>
  <c r="G37" i="22"/>
  <c r="AL37" i="22"/>
  <c r="P11" i="21"/>
  <c r="AL11" i="21"/>
  <c r="AL23" i="21"/>
  <c r="G23" i="21"/>
  <c r="AK28" i="21"/>
  <c r="Y28" i="21"/>
  <c r="G9" i="20"/>
  <c r="AL9" i="20"/>
  <c r="AL21" i="20"/>
  <c r="G37" i="20"/>
  <c r="AL37" i="20"/>
  <c r="AF38" i="20"/>
  <c r="W38" i="20"/>
  <c r="AK38" i="20" s="1"/>
  <c r="AF9" i="19"/>
  <c r="W9" i="19"/>
  <c r="AK9" i="19" s="1"/>
  <c r="AF31" i="19"/>
  <c r="P31" i="19"/>
  <c r="W31" i="19"/>
  <c r="AK31" i="19" s="1"/>
  <c r="AK11" i="18"/>
  <c r="Y11" i="18"/>
  <c r="AF24" i="18"/>
  <c r="W24" i="18"/>
  <c r="AK24" i="18" s="1"/>
  <c r="S11" i="14"/>
  <c r="O11" i="14"/>
  <c r="P11" i="14" s="1"/>
  <c r="G38" i="23"/>
  <c r="AL38" i="23"/>
  <c r="G8" i="21"/>
  <c r="AL8" i="21"/>
  <c r="P10" i="21"/>
  <c r="AK38" i="21"/>
  <c r="AK33" i="20"/>
  <c r="Y33" i="20"/>
  <c r="W11" i="19"/>
  <c r="AK11" i="19" s="1"/>
  <c r="AF11" i="19"/>
  <c r="Y36" i="4"/>
  <c r="G10" i="4"/>
  <c r="AF15" i="4"/>
  <c r="AF18" i="4"/>
  <c r="G21" i="4"/>
  <c r="AF29" i="4"/>
  <c r="AF32" i="4"/>
  <c r="AF35" i="4"/>
  <c r="AL36" i="4"/>
  <c r="G38" i="4"/>
  <c r="Q39" i="4"/>
  <c r="Q43" i="4"/>
  <c r="G9" i="23"/>
  <c r="AF14" i="23"/>
  <c r="AL15" i="23"/>
  <c r="AF17" i="23"/>
  <c r="AL18" i="23"/>
  <c r="G20" i="23"/>
  <c r="AG26" i="23"/>
  <c r="AL28" i="23"/>
  <c r="AG28" i="23"/>
  <c r="Y29" i="23"/>
  <c r="P32" i="23"/>
  <c r="AL34" i="23"/>
  <c r="AG34" i="23"/>
  <c r="G34" i="23"/>
  <c r="C8" i="22"/>
  <c r="U8" i="22" s="1"/>
  <c r="AK8" i="22"/>
  <c r="Y8" i="22"/>
  <c r="AG11" i="22"/>
  <c r="G11" i="22"/>
  <c r="AL11" i="22"/>
  <c r="Y14" i="22"/>
  <c r="AG20" i="22"/>
  <c r="G20" i="22"/>
  <c r="AL20" i="22"/>
  <c r="AL21" i="22"/>
  <c r="O24" i="22"/>
  <c r="P24" i="22" s="1"/>
  <c r="S24" i="22"/>
  <c r="P26" i="22"/>
  <c r="W31" i="22"/>
  <c r="AK31" i="22" s="1"/>
  <c r="AF31" i="22"/>
  <c r="Q43" i="22"/>
  <c r="R39" i="21"/>
  <c r="W9" i="21"/>
  <c r="AK9" i="21" s="1"/>
  <c r="AF9" i="21"/>
  <c r="AL12" i="21"/>
  <c r="G12" i="21"/>
  <c r="W27" i="21"/>
  <c r="AK27" i="21" s="1"/>
  <c r="AF27" i="21"/>
  <c r="O11" i="20"/>
  <c r="P11" i="20" s="1"/>
  <c r="S11" i="20"/>
  <c r="S39" i="20" s="1"/>
  <c r="Y19" i="20"/>
  <c r="AG8" i="19"/>
  <c r="G8" i="19"/>
  <c r="AL8" i="19"/>
  <c r="S26" i="19"/>
  <c r="O26" i="19"/>
  <c r="O12" i="18"/>
  <c r="P12" i="18" s="1"/>
  <c r="S12" i="18"/>
  <c r="Y10" i="4"/>
  <c r="P29" i="4"/>
  <c r="Y38" i="4"/>
  <c r="AL31" i="23"/>
  <c r="AG31" i="23"/>
  <c r="G31" i="23"/>
  <c r="P14" i="22"/>
  <c r="R39" i="4"/>
  <c r="U3" i="23"/>
  <c r="S39" i="23"/>
  <c r="R39" i="23"/>
  <c r="Q43" i="23"/>
  <c r="Q39" i="23"/>
  <c r="Y13" i="23"/>
  <c r="Y16" i="23"/>
  <c r="Y24" i="23"/>
  <c r="O31" i="23"/>
  <c r="P31" i="23" s="1"/>
  <c r="S31" i="23"/>
  <c r="W35" i="23"/>
  <c r="AK35" i="23" s="1"/>
  <c r="AF35" i="23"/>
  <c r="P36" i="23"/>
  <c r="AG36" i="23"/>
  <c r="AK37" i="23"/>
  <c r="Y37" i="23"/>
  <c r="O38" i="23"/>
  <c r="P38" i="23" s="1"/>
  <c r="AF12" i="22"/>
  <c r="W12" i="22"/>
  <c r="AK12" i="22" s="1"/>
  <c r="AL12" i="22"/>
  <c r="Y13" i="22"/>
  <c r="Y16" i="22"/>
  <c r="AF23" i="22"/>
  <c r="W23" i="22"/>
  <c r="AK23" i="22" s="1"/>
  <c r="AL27" i="22"/>
  <c r="AG27" i="22"/>
  <c r="G27" i="22"/>
  <c r="Y36" i="22"/>
  <c r="AG38" i="22"/>
  <c r="O8" i="21"/>
  <c r="P8" i="21" s="1"/>
  <c r="W13" i="21"/>
  <c r="AK13" i="21" s="1"/>
  <c r="AF13" i="21"/>
  <c r="AL13" i="21"/>
  <c r="AG16" i="21"/>
  <c r="G16" i="21"/>
  <c r="O21" i="21"/>
  <c r="P21" i="21" s="1"/>
  <c r="AL26" i="21"/>
  <c r="G26" i="21"/>
  <c r="P29" i="21"/>
  <c r="Y30" i="21"/>
  <c r="AG36" i="21"/>
  <c r="AL10" i="20"/>
  <c r="Y10" i="20"/>
  <c r="AG15" i="20"/>
  <c r="AK24" i="20"/>
  <c r="Y24" i="20"/>
  <c r="AK27" i="20"/>
  <c r="Y27" i="20"/>
  <c r="AG32" i="20"/>
  <c r="O10" i="19"/>
  <c r="S10" i="19"/>
  <c r="G35" i="18"/>
  <c r="AL35" i="18"/>
  <c r="AG35" i="18"/>
  <c r="Y8" i="21"/>
  <c r="W20" i="21"/>
  <c r="AK20" i="21" s="1"/>
  <c r="AF20" i="21"/>
  <c r="O20" i="18"/>
  <c r="P20" i="18" s="1"/>
  <c r="S20" i="18"/>
  <c r="S39" i="18" s="1"/>
  <c r="P12" i="23"/>
  <c r="P23" i="23"/>
  <c r="Y20" i="4"/>
  <c r="Y27" i="23"/>
  <c r="AG30" i="23"/>
  <c r="AL35" i="23"/>
  <c r="AL13" i="22"/>
  <c r="AG13" i="22"/>
  <c r="G13" i="22"/>
  <c r="AK24" i="22"/>
  <c r="Y24" i="22"/>
  <c r="W28" i="22"/>
  <c r="AK28" i="22" s="1"/>
  <c r="AF28" i="22"/>
  <c r="AL28" i="22"/>
  <c r="AK33" i="22"/>
  <c r="Y33" i="22"/>
  <c r="W38" i="22"/>
  <c r="AK38" i="22" s="1"/>
  <c r="AF38" i="22"/>
  <c r="AG10" i="21"/>
  <c r="G10" i="21"/>
  <c r="AL10" i="21"/>
  <c r="O23" i="21"/>
  <c r="P23" i="21" s="1"/>
  <c r="S23" i="21"/>
  <c r="AK34" i="21"/>
  <c r="Y34" i="21"/>
  <c r="Y8" i="20"/>
  <c r="O9" i="20"/>
  <c r="P9" i="20" s="1"/>
  <c r="W23" i="20"/>
  <c r="AK23" i="20" s="1"/>
  <c r="AF23" i="20"/>
  <c r="W26" i="20"/>
  <c r="AK26" i="20" s="1"/>
  <c r="AF26" i="20"/>
  <c r="O37" i="20"/>
  <c r="P37" i="20" s="1"/>
  <c r="AL38" i="20"/>
  <c r="AL9" i="19"/>
  <c r="Y9" i="19"/>
  <c r="AG18" i="18"/>
  <c r="P18" i="18"/>
  <c r="O26" i="18"/>
  <c r="P26" i="18" s="1"/>
  <c r="S26" i="18"/>
  <c r="AK12" i="17"/>
  <c r="Y12" i="17"/>
  <c r="AG18" i="22"/>
  <c r="AL25" i="22"/>
  <c r="AG29" i="22"/>
  <c r="AG32" i="22"/>
  <c r="AG35" i="22"/>
  <c r="R39" i="22"/>
  <c r="AG14" i="21"/>
  <c r="AG17" i="21"/>
  <c r="W25" i="21"/>
  <c r="AK25" i="21" s="1"/>
  <c r="AG28" i="21"/>
  <c r="AG31" i="21"/>
  <c r="AG34" i="21"/>
  <c r="AF37" i="21"/>
  <c r="AF8" i="20"/>
  <c r="AG13" i="20"/>
  <c r="AF19" i="20"/>
  <c r="AG24" i="20"/>
  <c r="AG27" i="20"/>
  <c r="AF36" i="20"/>
  <c r="AG12" i="19"/>
  <c r="Y19" i="19"/>
  <c r="Y20" i="19"/>
  <c r="AL21" i="19"/>
  <c r="AG21" i="19"/>
  <c r="G24" i="19"/>
  <c r="AF28" i="19"/>
  <c r="Q39" i="19"/>
  <c r="Q43" i="19"/>
  <c r="Y16" i="18"/>
  <c r="AK17" i="18"/>
  <c r="Y17" i="18"/>
  <c r="Y19" i="18"/>
  <c r="G23" i="18"/>
  <c r="AG24" i="18"/>
  <c r="P24" i="18"/>
  <c r="Y27" i="18"/>
  <c r="AK33" i="18"/>
  <c r="Y33" i="18"/>
  <c r="AL30" i="17"/>
  <c r="G30" i="17"/>
  <c r="AG30" i="17"/>
  <c r="O27" i="23"/>
  <c r="AF37" i="23"/>
  <c r="AF8" i="22"/>
  <c r="O12" i="22"/>
  <c r="AF19" i="22"/>
  <c r="AF36" i="22"/>
  <c r="AF15" i="21"/>
  <c r="AF18" i="21"/>
  <c r="AL36" i="21"/>
  <c r="Q39" i="21"/>
  <c r="Q43" i="21"/>
  <c r="W8" i="20"/>
  <c r="AK8" i="20" s="1"/>
  <c r="O10" i="20"/>
  <c r="AL15" i="20"/>
  <c r="AL18" i="20"/>
  <c r="O21" i="20"/>
  <c r="AG25" i="20"/>
  <c r="AL29" i="20"/>
  <c r="AL32" i="20"/>
  <c r="AL35" i="20"/>
  <c r="O38" i="20"/>
  <c r="O9" i="19"/>
  <c r="P14" i="19"/>
  <c r="AG17" i="19"/>
  <c r="AG19" i="19"/>
  <c r="P25" i="19"/>
  <c r="Y8" i="18"/>
  <c r="AL10" i="18"/>
  <c r="AK25" i="18"/>
  <c r="Y25" i="18"/>
  <c r="AF35" i="17"/>
  <c r="W35" i="17"/>
  <c r="AK35" i="17" s="1"/>
  <c r="AL37" i="17"/>
  <c r="Y16" i="19"/>
  <c r="Y17" i="19"/>
  <c r="AG18" i="19"/>
  <c r="W21" i="19"/>
  <c r="AK21" i="19" s="1"/>
  <c r="AF21" i="19"/>
  <c r="AF22" i="19"/>
  <c r="AL24" i="19"/>
  <c r="G26" i="19"/>
  <c r="AL26" i="19"/>
  <c r="W27" i="19"/>
  <c r="AK27" i="19" s="1"/>
  <c r="AF27" i="19"/>
  <c r="AL34" i="19"/>
  <c r="Y34" i="19"/>
  <c r="AL38" i="19"/>
  <c r="AG38" i="19"/>
  <c r="S9" i="18"/>
  <c r="AG12" i="18"/>
  <c r="G12" i="18"/>
  <c r="AG13" i="18"/>
  <c r="P13" i="18"/>
  <c r="Y20" i="18"/>
  <c r="W21" i="18"/>
  <c r="AF21" i="18"/>
  <c r="Y24" i="18"/>
  <c r="G15" i="17"/>
  <c r="AL15" i="17"/>
  <c r="AF32" i="17"/>
  <c r="W32" i="17"/>
  <c r="AK32" i="17" s="1"/>
  <c r="AG37" i="16"/>
  <c r="G37" i="16"/>
  <c r="AL37" i="16"/>
  <c r="G11" i="11"/>
  <c r="AL11" i="11"/>
  <c r="AG11" i="11"/>
  <c r="AL29" i="22"/>
  <c r="AL32" i="22"/>
  <c r="AL35" i="22"/>
  <c r="AL14" i="21"/>
  <c r="AF16" i="21"/>
  <c r="AL17" i="21"/>
  <c r="G30" i="21"/>
  <c r="G33" i="21"/>
  <c r="G36" i="21"/>
  <c r="G15" i="20"/>
  <c r="G18" i="20"/>
  <c r="G29" i="20"/>
  <c r="G32" i="20"/>
  <c r="G35" i="20"/>
  <c r="Y36" i="20"/>
  <c r="L3" i="19"/>
  <c r="O13" i="19"/>
  <c r="P13" i="19" s="1"/>
  <c r="S13" i="19"/>
  <c r="AG20" i="19"/>
  <c r="P22" i="19"/>
  <c r="AG22" i="19"/>
  <c r="AG33" i="19"/>
  <c r="Y9" i="18"/>
  <c r="AL12" i="18"/>
  <c r="AG21" i="18"/>
  <c r="P21" i="18"/>
  <c r="O23" i="18"/>
  <c r="P23" i="18" s="1"/>
  <c r="S23" i="18"/>
  <c r="W9" i="17"/>
  <c r="AK9" i="17" s="1"/>
  <c r="R39" i="17"/>
  <c r="AF9" i="17"/>
  <c r="Y11" i="17"/>
  <c r="AF29" i="17"/>
  <c r="W29" i="17"/>
  <c r="AK29" i="17" s="1"/>
  <c r="R39" i="16"/>
  <c r="Q43" i="16"/>
  <c r="Q39" i="16"/>
  <c r="W8" i="16"/>
  <c r="AK8" i="16" s="1"/>
  <c r="AF8" i="16"/>
  <c r="AG16" i="15"/>
  <c r="G16" i="15"/>
  <c r="AL16" i="15"/>
  <c r="Y23" i="21"/>
  <c r="Q39" i="20"/>
  <c r="Q43" i="20"/>
  <c r="W13" i="19"/>
  <c r="AK13" i="19" s="1"/>
  <c r="AG14" i="19"/>
  <c r="S23" i="19"/>
  <c r="O23" i="19"/>
  <c r="P23" i="19" s="1"/>
  <c r="AL23" i="19"/>
  <c r="O24" i="19"/>
  <c r="P24" i="19" s="1"/>
  <c r="S24" i="19"/>
  <c r="O27" i="19"/>
  <c r="P27" i="19" s="1"/>
  <c r="S27" i="19"/>
  <c r="S39" i="19" s="1"/>
  <c r="W28" i="19"/>
  <c r="AK28" i="19" s="1"/>
  <c r="C8" i="18"/>
  <c r="U8" i="18" s="1"/>
  <c r="W10" i="18"/>
  <c r="AK10" i="18" s="1"/>
  <c r="AF10" i="18"/>
  <c r="W13" i="18"/>
  <c r="AK13" i="18" s="1"/>
  <c r="AK14" i="18"/>
  <c r="Y14" i="18"/>
  <c r="AL20" i="18"/>
  <c r="AG20" i="18"/>
  <c r="AG26" i="18"/>
  <c r="G26" i="18"/>
  <c r="AG27" i="18"/>
  <c r="P27" i="18"/>
  <c r="G17" i="17"/>
  <c r="AL17" i="17"/>
  <c r="AL17" i="16"/>
  <c r="Y35" i="21"/>
  <c r="R39" i="19"/>
  <c r="Y14" i="19"/>
  <c r="AG15" i="19"/>
  <c r="Y27" i="19"/>
  <c r="AL28" i="19"/>
  <c r="AL31" i="19"/>
  <c r="AF34" i="19"/>
  <c r="P34" i="19"/>
  <c r="AK37" i="19"/>
  <c r="Y37" i="19"/>
  <c r="AL9" i="18"/>
  <c r="AG9" i="18"/>
  <c r="AG10" i="18"/>
  <c r="P10" i="18"/>
  <c r="P15" i="18"/>
  <c r="G20" i="18"/>
  <c r="AL26" i="18"/>
  <c r="AL36" i="17"/>
  <c r="AG36" i="17"/>
  <c r="G36" i="17"/>
  <c r="AL22" i="19"/>
  <c r="AF38" i="19"/>
  <c r="Q43" i="18"/>
  <c r="Q39" i="18"/>
  <c r="AF9" i="18"/>
  <c r="AF20" i="18"/>
  <c r="AL21" i="18"/>
  <c r="AF36" i="18"/>
  <c r="W36" i="18"/>
  <c r="AK36" i="18" s="1"/>
  <c r="AL8" i="17"/>
  <c r="G8" i="17"/>
  <c r="Y10" i="17"/>
  <c r="G14" i="17"/>
  <c r="AL14" i="17"/>
  <c r="AF18" i="17"/>
  <c r="W18" i="17"/>
  <c r="AK18" i="17" s="1"/>
  <c r="Y9" i="16"/>
  <c r="AL14" i="19"/>
  <c r="AL17" i="19"/>
  <c r="O37" i="19"/>
  <c r="O8" i="18"/>
  <c r="AL16" i="18"/>
  <c r="O19" i="18"/>
  <c r="AL30" i="18"/>
  <c r="AG33" i="18"/>
  <c r="G33" i="18"/>
  <c r="AL33" i="18"/>
  <c r="Y34" i="18"/>
  <c r="S36" i="18"/>
  <c r="O36" i="18"/>
  <c r="AL37" i="18"/>
  <c r="G37" i="18"/>
  <c r="AF37" i="18"/>
  <c r="AL38" i="18"/>
  <c r="AF15" i="17"/>
  <c r="W15" i="17"/>
  <c r="AK15" i="17" s="1"/>
  <c r="S18" i="17"/>
  <c r="S18" i="3" s="1"/>
  <c r="O18" i="17"/>
  <c r="AL19" i="17"/>
  <c r="G19" i="17"/>
  <c r="AG26" i="17"/>
  <c r="G28" i="17"/>
  <c r="AL28" i="17"/>
  <c r="G31" i="17"/>
  <c r="AL31" i="17"/>
  <c r="G34" i="17"/>
  <c r="AL34" i="17"/>
  <c r="O36" i="17"/>
  <c r="P36" i="17" s="1"/>
  <c r="S36" i="17"/>
  <c r="AL37" i="19"/>
  <c r="AL8" i="18"/>
  <c r="O11" i="18"/>
  <c r="AL19" i="18"/>
  <c r="O22" i="18"/>
  <c r="Q43" i="17"/>
  <c r="Q39" i="17"/>
  <c r="W8" i="17"/>
  <c r="AK8" i="17" s="1"/>
  <c r="S15" i="17"/>
  <c r="O15" i="17"/>
  <c r="P15" i="17" s="1"/>
  <c r="AL16" i="17"/>
  <c r="G16" i="17"/>
  <c r="Y29" i="17"/>
  <c r="Y32" i="17"/>
  <c r="Y35" i="17"/>
  <c r="S8" i="15"/>
  <c r="Q39" i="15"/>
  <c r="O8" i="15"/>
  <c r="P8" i="15" s="1"/>
  <c r="AG30" i="15"/>
  <c r="G30" i="15"/>
  <c r="AL30" i="15"/>
  <c r="G32" i="18"/>
  <c r="AL32" i="18"/>
  <c r="O8" i="17"/>
  <c r="P8" i="17" s="1"/>
  <c r="S8" i="17"/>
  <c r="S39" i="17" s="1"/>
  <c r="AG14" i="17"/>
  <c r="O17" i="17"/>
  <c r="P17" i="17" s="1"/>
  <c r="Y18" i="17"/>
  <c r="W37" i="17"/>
  <c r="AK37" i="17" s="1"/>
  <c r="AF37" i="17"/>
  <c r="S24" i="16"/>
  <c r="O24" i="16"/>
  <c r="P24" i="16" s="1"/>
  <c r="G16" i="18"/>
  <c r="G30" i="18"/>
  <c r="AG34" i="18"/>
  <c r="O37" i="18"/>
  <c r="P37" i="18" s="1"/>
  <c r="S37" i="18"/>
  <c r="C9" i="17"/>
  <c r="AG9" i="17"/>
  <c r="Y15" i="17"/>
  <c r="W16" i="17"/>
  <c r="AF16" i="17"/>
  <c r="O19" i="17"/>
  <c r="P19" i="17" s="1"/>
  <c r="S19" i="17"/>
  <c r="O28" i="17"/>
  <c r="P28" i="17" s="1"/>
  <c r="O31" i="17"/>
  <c r="P31" i="17" s="1"/>
  <c r="O34" i="17"/>
  <c r="P34" i="17" s="1"/>
  <c r="S13" i="16"/>
  <c r="S39" i="16" s="1"/>
  <c r="O13" i="16"/>
  <c r="P13" i="16" s="1"/>
  <c r="W28" i="16"/>
  <c r="AK28" i="16" s="1"/>
  <c r="AF28" i="16"/>
  <c r="P28" i="16"/>
  <c r="AL29" i="14"/>
  <c r="Y29" i="14"/>
  <c r="AF8" i="18"/>
  <c r="P33" i="18"/>
  <c r="G36" i="18"/>
  <c r="AL36" i="18"/>
  <c r="R39" i="18"/>
  <c r="AG13" i="17"/>
  <c r="G18" i="17"/>
  <c r="AL18" i="17"/>
  <c r="AG25" i="17"/>
  <c r="G25" i="17"/>
  <c r="Q43" i="15"/>
  <c r="W12" i="14"/>
  <c r="AK12" i="14" s="1"/>
  <c r="AF12" i="14"/>
  <c r="AF34" i="18"/>
  <c r="O9" i="17"/>
  <c r="P9" i="17" s="1"/>
  <c r="O20" i="17"/>
  <c r="P20" i="17" s="1"/>
  <c r="AG21" i="17"/>
  <c r="AF30" i="17"/>
  <c r="AF33" i="17"/>
  <c r="O37" i="17"/>
  <c r="P37" i="17" s="1"/>
  <c r="C8" i="16"/>
  <c r="U8" i="16" s="1"/>
  <c r="O8" i="16"/>
  <c r="P8" i="16" s="1"/>
  <c r="AL12" i="16"/>
  <c r="Y16" i="16"/>
  <c r="AF21" i="16"/>
  <c r="W21" i="16"/>
  <c r="AK21" i="16" s="1"/>
  <c r="G27" i="16"/>
  <c r="AL27" i="16"/>
  <c r="AK35" i="16"/>
  <c r="Y10" i="15"/>
  <c r="W11" i="15"/>
  <c r="AK11" i="15" s="1"/>
  <c r="AF11" i="15"/>
  <c r="G19" i="15"/>
  <c r="AL19" i="15"/>
  <c r="O21" i="15"/>
  <c r="P21" i="15" s="1"/>
  <c r="S21" i="15"/>
  <c r="Y23" i="15"/>
  <c r="S14" i="12"/>
  <c r="O14" i="12"/>
  <c r="Q39" i="12"/>
  <c r="O29" i="17"/>
  <c r="W30" i="17"/>
  <c r="O32" i="17"/>
  <c r="W33" i="17"/>
  <c r="O35" i="17"/>
  <c r="G13" i="16"/>
  <c r="AG13" i="16"/>
  <c r="Y13" i="16"/>
  <c r="AK19" i="16"/>
  <c r="Y19" i="16"/>
  <c r="AL22" i="16"/>
  <c r="AG22" i="16"/>
  <c r="G22" i="16"/>
  <c r="AG31" i="16"/>
  <c r="AG35" i="16"/>
  <c r="AF38" i="16"/>
  <c r="W38" i="16"/>
  <c r="AK38" i="16" s="1"/>
  <c r="AG14" i="15"/>
  <c r="Y21" i="15"/>
  <c r="W22" i="15"/>
  <c r="AK22" i="15" s="1"/>
  <c r="AF22" i="15"/>
  <c r="AG31" i="15"/>
  <c r="AG23" i="14"/>
  <c r="P23" i="14"/>
  <c r="G12" i="9"/>
  <c r="AL12" i="9"/>
  <c r="AG12" i="9"/>
  <c r="AF32" i="18"/>
  <c r="AF35" i="18"/>
  <c r="G9" i="17"/>
  <c r="O10" i="17"/>
  <c r="AG10" i="17" s="1"/>
  <c r="AF14" i="17"/>
  <c r="AF17" i="17"/>
  <c r="G20" i="17"/>
  <c r="AF28" i="17"/>
  <c r="AL29" i="17"/>
  <c r="AF31" i="17"/>
  <c r="AL32" i="17"/>
  <c r="AF34" i="17"/>
  <c r="AL35" i="17"/>
  <c r="G37" i="17"/>
  <c r="G8" i="16"/>
  <c r="W14" i="16"/>
  <c r="AK14" i="16" s="1"/>
  <c r="AG15" i="16"/>
  <c r="AK15" i="16"/>
  <c r="W17" i="16"/>
  <c r="AK17" i="16" s="1"/>
  <c r="AF17" i="16"/>
  <c r="W23" i="16"/>
  <c r="AK23" i="16" s="1"/>
  <c r="AF23" i="16"/>
  <c r="AG29" i="16"/>
  <c r="P38" i="16"/>
  <c r="AL10" i="15"/>
  <c r="G10" i="15"/>
  <c r="O19" i="15"/>
  <c r="P19" i="15" s="1"/>
  <c r="Y25" i="15"/>
  <c r="AG28" i="15"/>
  <c r="S27" i="16"/>
  <c r="O27" i="16"/>
  <c r="P27" i="16" s="1"/>
  <c r="AF9" i="15"/>
  <c r="W9" i="15"/>
  <c r="AK9" i="15" s="1"/>
  <c r="AG17" i="15"/>
  <c r="AG25" i="15"/>
  <c r="AK32" i="15"/>
  <c r="Y32" i="15"/>
  <c r="AK11" i="14"/>
  <c r="G13" i="13"/>
  <c r="AF12" i="16"/>
  <c r="AG18" i="16"/>
  <c r="G24" i="16"/>
  <c r="AL24" i="16"/>
  <c r="Y28" i="16"/>
  <c r="AK36" i="16"/>
  <c r="Y36" i="16"/>
  <c r="G8" i="15"/>
  <c r="AL8" i="15"/>
  <c r="AL21" i="15"/>
  <c r="AG21" i="15"/>
  <c r="G21" i="15"/>
  <c r="AK29" i="15"/>
  <c r="Y29" i="15"/>
  <c r="G13" i="14"/>
  <c r="AL13" i="14"/>
  <c r="G14" i="14"/>
  <c r="O17" i="14"/>
  <c r="P17" i="14" s="1"/>
  <c r="S17" i="14"/>
  <c r="AL32" i="14"/>
  <c r="Y32" i="14"/>
  <c r="W30" i="13"/>
  <c r="AF30" i="13"/>
  <c r="W16" i="12"/>
  <c r="AF16" i="12"/>
  <c r="Y10" i="16"/>
  <c r="AG20" i="16"/>
  <c r="G20" i="16"/>
  <c r="AL20" i="16"/>
  <c r="W26" i="16"/>
  <c r="AK26" i="16" s="1"/>
  <c r="AF26" i="16"/>
  <c r="Y38" i="16"/>
  <c r="O10" i="15"/>
  <c r="S10" i="15"/>
  <c r="AL11" i="15"/>
  <c r="Y12" i="15"/>
  <c r="AK18" i="15"/>
  <c r="Y18" i="15"/>
  <c r="AF20" i="15"/>
  <c r="W20" i="15"/>
  <c r="AK20" i="15" s="1"/>
  <c r="AL22" i="14"/>
  <c r="AG22" i="14"/>
  <c r="G22" i="14"/>
  <c r="AF14" i="13"/>
  <c r="W14" i="13"/>
  <c r="AK14" i="13" s="1"/>
  <c r="S19" i="11"/>
  <c r="S19" i="3" s="1"/>
  <c r="O19" i="11"/>
  <c r="P19" i="11" s="1"/>
  <c r="AF19" i="16"/>
  <c r="AF36" i="16"/>
  <c r="O11" i="15"/>
  <c r="P11" i="15" s="1"/>
  <c r="AF18" i="15"/>
  <c r="O22" i="15"/>
  <c r="P22" i="15" s="1"/>
  <c r="AF29" i="15"/>
  <c r="P12" i="14"/>
  <c r="AL18" i="14"/>
  <c r="Y18" i="14"/>
  <c r="W23" i="14"/>
  <c r="AK23" i="14" s="1"/>
  <c r="AF23" i="14"/>
  <c r="O31" i="14"/>
  <c r="P31" i="14" s="1"/>
  <c r="S31" i="14"/>
  <c r="P14" i="13"/>
  <c r="AL17" i="13"/>
  <c r="Y17" i="13"/>
  <c r="P30" i="13"/>
  <c r="P16" i="12"/>
  <c r="AG16" i="12"/>
  <c r="S14" i="6"/>
  <c r="O14" i="6"/>
  <c r="P14" i="6" s="1"/>
  <c r="AL15" i="16"/>
  <c r="AL18" i="16"/>
  <c r="AG25" i="16"/>
  <c r="AL29" i="16"/>
  <c r="AF31" i="16"/>
  <c r="AL32" i="16"/>
  <c r="AF34" i="16"/>
  <c r="AL35" i="16"/>
  <c r="O9" i="15"/>
  <c r="AL14" i="15"/>
  <c r="AL17" i="15"/>
  <c r="O20" i="15"/>
  <c r="AL28" i="15"/>
  <c r="AL31" i="15"/>
  <c r="S34" i="15"/>
  <c r="O34" i="15"/>
  <c r="P34" i="15" s="1"/>
  <c r="AG36" i="15"/>
  <c r="AK37" i="15"/>
  <c r="Y37" i="15"/>
  <c r="AL15" i="14"/>
  <c r="Y15" i="14"/>
  <c r="Y17" i="14"/>
  <c r="W26" i="14"/>
  <c r="AF26" i="14"/>
  <c r="O28" i="14"/>
  <c r="P28" i="14" s="1"/>
  <c r="S28" i="14"/>
  <c r="G34" i="14"/>
  <c r="AL34" i="14"/>
  <c r="Y38" i="14"/>
  <c r="Y9" i="13"/>
  <c r="P10" i="13"/>
  <c r="AG28" i="13"/>
  <c r="P28" i="13"/>
  <c r="O27" i="12"/>
  <c r="P27" i="12" s="1"/>
  <c r="S27" i="12"/>
  <c r="W9" i="11"/>
  <c r="AF9" i="11"/>
  <c r="G29" i="11"/>
  <c r="AL29" i="11"/>
  <c r="AL9" i="15"/>
  <c r="G11" i="15"/>
  <c r="O12" i="15"/>
  <c r="P12" i="15" s="1"/>
  <c r="AF19" i="15"/>
  <c r="AL20" i="15"/>
  <c r="G22" i="15"/>
  <c r="O23" i="15"/>
  <c r="P23" i="15" s="1"/>
  <c r="O26" i="15"/>
  <c r="P26" i="15" s="1"/>
  <c r="O14" i="14"/>
  <c r="P14" i="14" s="1"/>
  <c r="S14" i="14"/>
  <c r="AG26" i="14"/>
  <c r="P26" i="14"/>
  <c r="Y28" i="14"/>
  <c r="S10" i="13"/>
  <c r="S39" i="13" s="1"/>
  <c r="P20" i="13"/>
  <c r="AL36" i="13"/>
  <c r="AG36" i="13"/>
  <c r="G36" i="13"/>
  <c r="AG19" i="12"/>
  <c r="P19" i="12"/>
  <c r="S26" i="12"/>
  <c r="O26" i="12"/>
  <c r="P26" i="12" s="1"/>
  <c r="O18" i="11"/>
  <c r="P18" i="11" s="1"/>
  <c r="S18" i="11"/>
  <c r="L3" i="15"/>
  <c r="AL36" i="15"/>
  <c r="AG38" i="15"/>
  <c r="AL11" i="14"/>
  <c r="AG11" i="14"/>
  <c r="Y14" i="14"/>
  <c r="P18" i="14"/>
  <c r="AK22" i="14"/>
  <c r="Y22" i="14"/>
  <c r="AL25" i="14"/>
  <c r="AG25" i="14"/>
  <c r="G25" i="14"/>
  <c r="G31" i="14"/>
  <c r="AL31" i="14"/>
  <c r="W35" i="14"/>
  <c r="AK35" i="14" s="1"/>
  <c r="Y12" i="13"/>
  <c r="AL14" i="13"/>
  <c r="P17" i="13"/>
  <c r="AK33" i="13"/>
  <c r="P33" i="15"/>
  <c r="AL34" i="15"/>
  <c r="AG9" i="14"/>
  <c r="G11" i="14"/>
  <c r="S13" i="14"/>
  <c r="O13" i="14"/>
  <c r="P13" i="14" s="1"/>
  <c r="AG17" i="14"/>
  <c r="G17" i="14"/>
  <c r="AL17" i="14"/>
  <c r="AL35" i="14"/>
  <c r="Y35" i="14"/>
  <c r="W11" i="13"/>
  <c r="AF11" i="13"/>
  <c r="O13" i="13"/>
  <c r="P13" i="13" s="1"/>
  <c r="S13" i="13"/>
  <c r="Y20" i="13"/>
  <c r="AL23" i="13"/>
  <c r="Y23" i="13"/>
  <c r="S35" i="13"/>
  <c r="O35" i="13"/>
  <c r="W37" i="13"/>
  <c r="AF37" i="13"/>
  <c r="AL15" i="12"/>
  <c r="AG15" i="12"/>
  <c r="G15" i="12"/>
  <c r="P23" i="12"/>
  <c r="AG23" i="12"/>
  <c r="R39" i="15"/>
  <c r="Y24" i="15"/>
  <c r="AG32" i="15"/>
  <c r="Y34" i="15"/>
  <c r="S35" i="15"/>
  <c r="AL35" i="15"/>
  <c r="R39" i="14"/>
  <c r="AG12" i="14"/>
  <c r="AG20" i="14"/>
  <c r="AK25" i="14"/>
  <c r="Y25" i="14"/>
  <c r="AG28" i="14"/>
  <c r="G28" i="14"/>
  <c r="AL28" i="14"/>
  <c r="O34" i="14"/>
  <c r="P34" i="14" s="1"/>
  <c r="S34" i="14"/>
  <c r="AL10" i="13"/>
  <c r="AG10" i="13"/>
  <c r="AG11" i="13"/>
  <c r="P11" i="13"/>
  <c r="Y13" i="13"/>
  <c r="AL18" i="12"/>
  <c r="AG18" i="12"/>
  <c r="G21" i="12"/>
  <c r="AL21" i="12"/>
  <c r="W16" i="10"/>
  <c r="AF16" i="10"/>
  <c r="AL12" i="14"/>
  <c r="AL23" i="14"/>
  <c r="AF25" i="14"/>
  <c r="AL26" i="14"/>
  <c r="AL11" i="13"/>
  <c r="AF19" i="13"/>
  <c r="G17" i="12"/>
  <c r="AL17" i="12"/>
  <c r="Y17" i="12"/>
  <c r="AL26" i="12"/>
  <c r="G10" i="11"/>
  <c r="AL10" i="11"/>
  <c r="AL12" i="11"/>
  <c r="AG12" i="11"/>
  <c r="G12" i="11"/>
  <c r="AL8" i="10"/>
  <c r="AK20" i="10"/>
  <c r="Y20" i="10"/>
  <c r="W30" i="10"/>
  <c r="AK30" i="10" s="1"/>
  <c r="AF30" i="10"/>
  <c r="G9" i="14"/>
  <c r="AF14" i="14"/>
  <c r="AF17" i="14"/>
  <c r="G20" i="14"/>
  <c r="AF28" i="14"/>
  <c r="AF31" i="14"/>
  <c r="AF34" i="14"/>
  <c r="G37" i="14"/>
  <c r="G8" i="13"/>
  <c r="AF13" i="13"/>
  <c r="G16" i="13"/>
  <c r="P18" i="13"/>
  <c r="P19" i="13"/>
  <c r="S29" i="13"/>
  <c r="O29" i="13"/>
  <c r="AG31" i="13"/>
  <c r="G35" i="13"/>
  <c r="AL35" i="13"/>
  <c r="Y35" i="13"/>
  <c r="O10" i="12"/>
  <c r="S10" i="12"/>
  <c r="G14" i="12"/>
  <c r="AL14" i="12"/>
  <c r="Y14" i="12"/>
  <c r="W18" i="12"/>
  <c r="AK18" i="12" s="1"/>
  <c r="AF18" i="12"/>
  <c r="P22" i="12"/>
  <c r="Y27" i="12"/>
  <c r="Y31" i="12"/>
  <c r="AK35" i="12"/>
  <c r="Y35" i="12"/>
  <c r="AF11" i="11"/>
  <c r="W11" i="11"/>
  <c r="AK11" i="11" s="1"/>
  <c r="P11" i="11"/>
  <c r="W16" i="11"/>
  <c r="AK16" i="11" s="1"/>
  <c r="AF16" i="11"/>
  <c r="AL23" i="11"/>
  <c r="W30" i="11"/>
  <c r="AF30" i="11"/>
  <c r="AL33" i="11"/>
  <c r="AG33" i="11"/>
  <c r="G33" i="11"/>
  <c r="O36" i="11"/>
  <c r="P36" i="11" s="1"/>
  <c r="S36" i="11"/>
  <c r="S36" i="3" s="1"/>
  <c r="P10" i="14"/>
  <c r="Y16" i="14"/>
  <c r="O24" i="14"/>
  <c r="O27" i="14"/>
  <c r="Y30" i="14"/>
  <c r="Y33" i="14"/>
  <c r="AF8" i="13"/>
  <c r="O12" i="13"/>
  <c r="S19" i="13"/>
  <c r="AL20" i="13"/>
  <c r="P26" i="13"/>
  <c r="AL28" i="13"/>
  <c r="S32" i="13"/>
  <c r="O32" i="13"/>
  <c r="W36" i="13"/>
  <c r="AK36" i="13" s="1"/>
  <c r="AF36" i="13"/>
  <c r="R39" i="13"/>
  <c r="Q43" i="12"/>
  <c r="W8" i="12"/>
  <c r="AK8" i="12" s="1"/>
  <c r="AL11" i="12"/>
  <c r="Y11" i="12"/>
  <c r="W15" i="12"/>
  <c r="AK15" i="12" s="1"/>
  <c r="AF15" i="12"/>
  <c r="P18" i="12"/>
  <c r="Y19" i="12"/>
  <c r="P24" i="12"/>
  <c r="P25" i="12"/>
  <c r="W38" i="12"/>
  <c r="AF38" i="12"/>
  <c r="G23" i="11"/>
  <c r="Y21" i="10"/>
  <c r="AK21" i="10"/>
  <c r="C8" i="14"/>
  <c r="U8" i="14" s="1"/>
  <c r="AI8" i="14" s="1"/>
  <c r="Y8" i="14"/>
  <c r="AL24" i="14"/>
  <c r="AL27" i="14"/>
  <c r="L3" i="13"/>
  <c r="AL12" i="13"/>
  <c r="Y15" i="13"/>
  <c r="W29" i="13"/>
  <c r="AK29" i="13" s="1"/>
  <c r="AL31" i="13"/>
  <c r="AL33" i="13"/>
  <c r="AG33" i="13"/>
  <c r="AG8" i="12"/>
  <c r="P8" i="12"/>
  <c r="AL27" i="12"/>
  <c r="AL15" i="11"/>
  <c r="AG15" i="11"/>
  <c r="G15" i="11"/>
  <c r="AG19" i="11"/>
  <c r="G19" i="11"/>
  <c r="AL19" i="11"/>
  <c r="AL20" i="11"/>
  <c r="O32" i="11"/>
  <c r="O32" i="3" s="1"/>
  <c r="S32" i="11"/>
  <c r="W24" i="10"/>
  <c r="AF24" i="10"/>
  <c r="AL30" i="10"/>
  <c r="O35" i="8"/>
  <c r="S35" i="8"/>
  <c r="Q39" i="14"/>
  <c r="Q43" i="14"/>
  <c r="G18" i="13"/>
  <c r="AL18" i="13"/>
  <c r="AG25" i="13"/>
  <c r="G25" i="13"/>
  <c r="G29" i="13"/>
  <c r="AL29" i="13"/>
  <c r="Y29" i="13"/>
  <c r="AG37" i="13"/>
  <c r="AG10" i="12"/>
  <c r="G10" i="12"/>
  <c r="P12" i="12"/>
  <c r="AG12" i="12"/>
  <c r="Y18" i="12"/>
  <c r="O21" i="12"/>
  <c r="P21" i="12" s="1"/>
  <c r="S21" i="12"/>
  <c r="G18" i="11"/>
  <c r="AL18" i="11"/>
  <c r="P28" i="11"/>
  <c r="AG28" i="11"/>
  <c r="AG34" i="11"/>
  <c r="P34" i="11"/>
  <c r="O23" i="10"/>
  <c r="P23" i="10" s="1"/>
  <c r="S23" i="10"/>
  <c r="AF24" i="9"/>
  <c r="W24" i="9"/>
  <c r="AK24" i="9" s="1"/>
  <c r="Q43" i="13"/>
  <c r="Q39" i="13"/>
  <c r="AL19" i="13"/>
  <c r="AG19" i="13"/>
  <c r="AG20" i="13"/>
  <c r="AG22" i="13"/>
  <c r="W26" i="13"/>
  <c r="AK26" i="13" s="1"/>
  <c r="G32" i="13"/>
  <c r="AL32" i="13"/>
  <c r="Y32" i="13"/>
  <c r="Y36" i="13"/>
  <c r="Y15" i="12"/>
  <c r="S17" i="12"/>
  <c r="O17" i="12"/>
  <c r="P17" i="12" s="1"/>
  <c r="AL22" i="12"/>
  <c r="Y22" i="12"/>
  <c r="AK29" i="12"/>
  <c r="Y29" i="12"/>
  <c r="Y33" i="12"/>
  <c r="O36" i="12"/>
  <c r="S36" i="12"/>
  <c r="R39" i="12"/>
  <c r="AK12" i="11"/>
  <c r="Y12" i="11"/>
  <c r="AK14" i="11"/>
  <c r="Y14" i="11"/>
  <c r="AF19" i="11"/>
  <c r="W19" i="11"/>
  <c r="AK19" i="11" s="1"/>
  <c r="O23" i="11"/>
  <c r="P23" i="11" s="1"/>
  <c r="S23" i="11"/>
  <c r="P23" i="9"/>
  <c r="AG23" i="9"/>
  <c r="AL30" i="12"/>
  <c r="AG30" i="12"/>
  <c r="AG8" i="11"/>
  <c r="AL8" i="11"/>
  <c r="P9" i="11"/>
  <c r="W13" i="11"/>
  <c r="AF13" i="11"/>
  <c r="Y15" i="11"/>
  <c r="AG16" i="11"/>
  <c r="G16" i="11"/>
  <c r="AK26" i="11"/>
  <c r="Y26" i="11"/>
  <c r="P30" i="11"/>
  <c r="O18" i="10"/>
  <c r="P18" i="10" s="1"/>
  <c r="S18" i="10"/>
  <c r="Y21" i="9"/>
  <c r="AK21" i="9"/>
  <c r="G24" i="12"/>
  <c r="G30" i="12"/>
  <c r="G36" i="12"/>
  <c r="G8" i="11"/>
  <c r="S12" i="11"/>
  <c r="Y22" i="11"/>
  <c r="W24" i="11"/>
  <c r="Y24" i="3" s="1"/>
  <c r="AF24" i="11"/>
  <c r="AL26" i="11"/>
  <c r="AG26" i="11"/>
  <c r="W33" i="11"/>
  <c r="AK33" i="11" s="1"/>
  <c r="AF33" i="11"/>
  <c r="AF8" i="10"/>
  <c r="R39" i="10"/>
  <c r="Q43" i="10"/>
  <c r="Q39" i="10"/>
  <c r="Y11" i="10"/>
  <c r="AG9" i="9"/>
  <c r="P9" i="9"/>
  <c r="AG26" i="9"/>
  <c r="AL24" i="8"/>
  <c r="AG24" i="8"/>
  <c r="G24" i="8"/>
  <c r="W36" i="8"/>
  <c r="AF36" i="8"/>
  <c r="AK19" i="7"/>
  <c r="Y19" i="7"/>
  <c r="G20" i="13"/>
  <c r="O21" i="13"/>
  <c r="G37" i="13"/>
  <c r="O38" i="13"/>
  <c r="O9" i="12"/>
  <c r="O20" i="12"/>
  <c r="O20" i="3" s="1"/>
  <c r="AG20" i="3" s="1"/>
  <c r="P31" i="12"/>
  <c r="AF31" i="12"/>
  <c r="AG9" i="11"/>
  <c r="P13" i="11"/>
  <c r="P20" i="11"/>
  <c r="W20" i="11"/>
  <c r="AK20" i="11" s="1"/>
  <c r="AF20" i="11"/>
  <c r="AG24" i="11"/>
  <c r="P24" i="11"/>
  <c r="G26" i="11"/>
  <c r="P33" i="11"/>
  <c r="AL23" i="10"/>
  <c r="AG23" i="10"/>
  <c r="AL33" i="10"/>
  <c r="O19" i="8"/>
  <c r="P19" i="8" s="1"/>
  <c r="S19" i="8"/>
  <c r="Y10" i="7"/>
  <c r="AK10" i="7"/>
  <c r="AL33" i="12"/>
  <c r="AG33" i="12"/>
  <c r="AG37" i="12"/>
  <c r="AL37" i="12"/>
  <c r="W37" i="12"/>
  <c r="P38" i="12"/>
  <c r="R39" i="11"/>
  <c r="Q39" i="11"/>
  <c r="AF8" i="11"/>
  <c r="Q43" i="11"/>
  <c r="P16" i="11"/>
  <c r="AL16" i="11"/>
  <c r="Y25" i="11"/>
  <c r="W27" i="11"/>
  <c r="AK27" i="11" s="1"/>
  <c r="AF27" i="11"/>
  <c r="O29" i="11"/>
  <c r="P29" i="11" s="1"/>
  <c r="S29" i="11"/>
  <c r="S29" i="3" s="1"/>
  <c r="AG30" i="11"/>
  <c r="G30" i="11"/>
  <c r="AL30" i="11"/>
  <c r="S10" i="10"/>
  <c r="S39" i="10" s="1"/>
  <c r="O10" i="10"/>
  <c r="AG15" i="10"/>
  <c r="AL15" i="10"/>
  <c r="G15" i="10"/>
  <c r="AG27" i="10"/>
  <c r="O35" i="10"/>
  <c r="P35" i="10" s="1"/>
  <c r="S35" i="10"/>
  <c r="AF34" i="9"/>
  <c r="Y15" i="8"/>
  <c r="AF23" i="8"/>
  <c r="W23" i="8"/>
  <c r="AK23" i="8" s="1"/>
  <c r="W26" i="12"/>
  <c r="AK26" i="12" s="1"/>
  <c r="G33" i="12"/>
  <c r="G37" i="12"/>
  <c r="Y11" i="11"/>
  <c r="Y18" i="11"/>
  <c r="AK23" i="11"/>
  <c r="Y23" i="11"/>
  <c r="AG27" i="11"/>
  <c r="P27" i="11"/>
  <c r="Y37" i="11"/>
  <c r="W8" i="10"/>
  <c r="AK8" i="10" s="1"/>
  <c r="W36" i="11"/>
  <c r="AK36" i="11" s="1"/>
  <c r="AF36" i="11"/>
  <c r="Y14" i="10"/>
  <c r="AL26" i="10"/>
  <c r="AG26" i="10"/>
  <c r="AG30" i="10"/>
  <c r="P30" i="10"/>
  <c r="AL14" i="9"/>
  <c r="AG14" i="9"/>
  <c r="Y20" i="9"/>
  <c r="AF20" i="8"/>
  <c r="W20" i="8"/>
  <c r="AK20" i="8" s="1"/>
  <c r="AG32" i="7"/>
  <c r="P32" i="7"/>
  <c r="AF15" i="11"/>
  <c r="AF18" i="11"/>
  <c r="G21" i="11"/>
  <c r="AF29" i="11"/>
  <c r="AF32" i="11"/>
  <c r="S35" i="11"/>
  <c r="O35" i="11"/>
  <c r="P35" i="11" s="1"/>
  <c r="P37" i="11"/>
  <c r="AF37" i="11"/>
  <c r="G10" i="10"/>
  <c r="S12" i="10"/>
  <c r="P19" i="10"/>
  <c r="Y22" i="10"/>
  <c r="G26" i="10"/>
  <c r="W27" i="10"/>
  <c r="AF27" i="10"/>
  <c r="S29" i="10"/>
  <c r="Y31" i="10"/>
  <c r="G32" i="10"/>
  <c r="G13" i="9"/>
  <c r="AL13" i="9"/>
  <c r="AG13" i="9"/>
  <c r="G14" i="9"/>
  <c r="AG20" i="9"/>
  <c r="AL20" i="9"/>
  <c r="Y26" i="9"/>
  <c r="AK26" i="9"/>
  <c r="G11" i="8"/>
  <c r="AL11" i="8"/>
  <c r="P20" i="8"/>
  <c r="AG30" i="8"/>
  <c r="G30" i="8"/>
  <c r="AL30" i="8"/>
  <c r="O38" i="8"/>
  <c r="P38" i="8" s="1"/>
  <c r="S38" i="8"/>
  <c r="W15" i="7"/>
  <c r="AK15" i="7" s="1"/>
  <c r="AF15" i="7"/>
  <c r="P15" i="7"/>
  <c r="AL14" i="11"/>
  <c r="AL17" i="11"/>
  <c r="AL28" i="11"/>
  <c r="AL31" i="11"/>
  <c r="AL34" i="11"/>
  <c r="P8" i="10"/>
  <c r="Y12" i="10"/>
  <c r="AG13" i="10"/>
  <c r="P16" i="10"/>
  <c r="Y25" i="10"/>
  <c r="AG29" i="10"/>
  <c r="AF27" i="9"/>
  <c r="W27" i="9"/>
  <c r="AK27" i="9" s="1"/>
  <c r="O34" i="9"/>
  <c r="P34" i="9" s="1"/>
  <c r="S34" i="9"/>
  <c r="O37" i="9"/>
  <c r="P37" i="9" s="1"/>
  <c r="S37" i="9"/>
  <c r="AK29" i="8"/>
  <c r="Y29" i="8"/>
  <c r="G35" i="11"/>
  <c r="AL35" i="11"/>
  <c r="Y36" i="11"/>
  <c r="AL12" i="10"/>
  <c r="AG12" i="10"/>
  <c r="W19" i="10"/>
  <c r="AG21" i="10"/>
  <c r="G21" i="10"/>
  <c r="W33" i="10"/>
  <c r="AK33" i="10" s="1"/>
  <c r="AF33" i="10"/>
  <c r="AL16" i="8"/>
  <c r="AG16" i="8"/>
  <c r="Y35" i="11"/>
  <c r="AL10" i="10"/>
  <c r="G12" i="10"/>
  <c r="W13" i="10"/>
  <c r="AF13" i="10"/>
  <c r="S15" i="10"/>
  <c r="S15" i="3" s="1"/>
  <c r="AG18" i="10"/>
  <c r="Y23" i="10"/>
  <c r="AG24" i="10"/>
  <c r="S26" i="10"/>
  <c r="AL32" i="10"/>
  <c r="P33" i="10"/>
  <c r="AG35" i="10"/>
  <c r="AG36" i="10"/>
  <c r="W36" i="10"/>
  <c r="AL17" i="9"/>
  <c r="AG17" i="9"/>
  <c r="Y23" i="9"/>
  <c r="AK23" i="9"/>
  <c r="AG38" i="9"/>
  <c r="P38" i="9"/>
  <c r="AG8" i="9"/>
  <c r="AF15" i="9"/>
  <c r="AF18" i="9"/>
  <c r="S24" i="9"/>
  <c r="O24" i="9"/>
  <c r="S27" i="9"/>
  <c r="S39" i="9" s="1"/>
  <c r="O27" i="9"/>
  <c r="AG8" i="8"/>
  <c r="AG14" i="8"/>
  <c r="W17" i="8"/>
  <c r="AF17" i="8"/>
  <c r="W25" i="8"/>
  <c r="AK25" i="8" s="1"/>
  <c r="AF25" i="8"/>
  <c r="AG27" i="8"/>
  <c r="AL27" i="8"/>
  <c r="W30" i="8"/>
  <c r="AF30" i="8"/>
  <c r="O14" i="7"/>
  <c r="P14" i="7" s="1"/>
  <c r="S14" i="7"/>
  <c r="AL18" i="7"/>
  <c r="AG18" i="7"/>
  <c r="G18" i="7"/>
  <c r="AL9" i="6"/>
  <c r="O11" i="10"/>
  <c r="AL19" i="10"/>
  <c r="O22" i="10"/>
  <c r="G38" i="10"/>
  <c r="O10" i="9"/>
  <c r="AF14" i="9"/>
  <c r="AF17" i="9"/>
  <c r="AL23" i="9"/>
  <c r="AL26" i="9"/>
  <c r="AL33" i="9"/>
  <c r="G8" i="8"/>
  <c r="AL13" i="8"/>
  <c r="AG13" i="8"/>
  <c r="G27" i="8"/>
  <c r="P30" i="8"/>
  <c r="Y31" i="8"/>
  <c r="C8" i="7"/>
  <c r="U8" i="7" s="1"/>
  <c r="L3" i="7"/>
  <c r="AL11" i="10"/>
  <c r="G13" i="10"/>
  <c r="O14" i="10"/>
  <c r="AF21" i="10"/>
  <c r="AL22" i="10"/>
  <c r="G24" i="10"/>
  <c r="AL25" i="10"/>
  <c r="G27" i="10"/>
  <c r="O28" i="10"/>
  <c r="O31" i="10"/>
  <c r="O31" i="3" s="1"/>
  <c r="AG31" i="3" s="1"/>
  <c r="O34" i="10"/>
  <c r="O34" i="3" s="1"/>
  <c r="AG34" i="3" s="1"/>
  <c r="AF38" i="10"/>
  <c r="R39" i="9"/>
  <c r="Q43" i="9"/>
  <c r="Q39" i="9"/>
  <c r="AL10" i="9"/>
  <c r="P14" i="9"/>
  <c r="P17" i="9"/>
  <c r="AL28" i="9"/>
  <c r="AG28" i="9"/>
  <c r="AG29" i="9"/>
  <c r="AL31" i="9"/>
  <c r="AG31" i="9"/>
  <c r="Y34" i="9"/>
  <c r="AG37" i="9"/>
  <c r="O11" i="8"/>
  <c r="P11" i="8" s="1"/>
  <c r="G13" i="8"/>
  <c r="W14" i="8"/>
  <c r="AF14" i="8"/>
  <c r="AG19" i="8"/>
  <c r="AG20" i="8"/>
  <c r="Y23" i="8"/>
  <c r="AF37" i="8"/>
  <c r="W37" i="8"/>
  <c r="AK37" i="8" s="1"/>
  <c r="Y17" i="7"/>
  <c r="AK17" i="7"/>
  <c r="Y38" i="11"/>
  <c r="G24" i="9"/>
  <c r="AL24" i="9"/>
  <c r="Y24" i="9"/>
  <c r="G27" i="9"/>
  <c r="AL27" i="9"/>
  <c r="AL34" i="9"/>
  <c r="AG34" i="9"/>
  <c r="AG35" i="9"/>
  <c r="O9" i="7"/>
  <c r="P9" i="7" s="1"/>
  <c r="S9" i="7"/>
  <c r="S9" i="3" s="1"/>
  <c r="O17" i="7"/>
  <c r="P17" i="7" s="1"/>
  <c r="S17" i="7"/>
  <c r="S13" i="9"/>
  <c r="O13" i="9"/>
  <c r="P13" i="9" s="1"/>
  <c r="P21" i="9"/>
  <c r="AF29" i="9"/>
  <c r="AF32" i="9"/>
  <c r="Y33" i="9"/>
  <c r="G34" i="9"/>
  <c r="A8" i="8"/>
  <c r="AL8" i="8"/>
  <c r="P9" i="8"/>
  <c r="Y12" i="8"/>
  <c r="S24" i="8"/>
  <c r="S39" i="8" s="1"/>
  <c r="AL32" i="8"/>
  <c r="AG32" i="8"/>
  <c r="P10" i="7"/>
  <c r="S12" i="7"/>
  <c r="O12" i="7"/>
  <c r="P12" i="7" s="1"/>
  <c r="AL34" i="7"/>
  <c r="G11" i="9"/>
  <c r="Y14" i="9"/>
  <c r="Y17" i="9"/>
  <c r="S20" i="9"/>
  <c r="S20" i="3" s="1"/>
  <c r="P25" i="9"/>
  <c r="W25" i="9"/>
  <c r="AF28" i="9"/>
  <c r="AF31" i="9"/>
  <c r="AF35" i="9"/>
  <c r="AG22" i="8"/>
  <c r="G22" i="8"/>
  <c r="AK35" i="8"/>
  <c r="Y35" i="8"/>
  <c r="Q43" i="8"/>
  <c r="AL21" i="9"/>
  <c r="AL9" i="8"/>
  <c r="O12" i="8"/>
  <c r="O23" i="8"/>
  <c r="AG25" i="8"/>
  <c r="W28" i="8"/>
  <c r="AG33" i="8"/>
  <c r="G33" i="8"/>
  <c r="AG12" i="7"/>
  <c r="G12" i="7"/>
  <c r="AL12" i="7"/>
  <c r="AL21" i="7"/>
  <c r="G21" i="7"/>
  <c r="S37" i="7"/>
  <c r="S37" i="3" s="1"/>
  <c r="O37" i="7"/>
  <c r="P37" i="7" s="1"/>
  <c r="AF12" i="9"/>
  <c r="G15" i="9"/>
  <c r="AL16" i="9"/>
  <c r="G18" i="9"/>
  <c r="O19" i="9"/>
  <c r="AF23" i="9"/>
  <c r="AF26" i="9"/>
  <c r="G29" i="9"/>
  <c r="AL30" i="9"/>
  <c r="G32" i="9"/>
  <c r="G35" i="9"/>
  <c r="O36" i="9"/>
  <c r="L3" i="8"/>
  <c r="AF11" i="8"/>
  <c r="AL12" i="8"/>
  <c r="G14" i="8"/>
  <c r="G17" i="8"/>
  <c r="O18" i="8"/>
  <c r="P18" i="3" s="1"/>
  <c r="AF22" i="8"/>
  <c r="AL23" i="8"/>
  <c r="G25" i="8"/>
  <c r="AG29" i="8"/>
  <c r="AG38" i="8"/>
  <c r="Y9" i="7"/>
  <c r="AG10" i="7"/>
  <c r="AF13" i="7"/>
  <c r="W13" i="7"/>
  <c r="AK13" i="7" s="1"/>
  <c r="O27" i="7"/>
  <c r="P27" i="7" s="1"/>
  <c r="S27" i="7"/>
  <c r="P31" i="7"/>
  <c r="AG31" i="7"/>
  <c r="W34" i="7"/>
  <c r="AK34" i="7" s="1"/>
  <c r="AF34" i="7"/>
  <c r="G17" i="6"/>
  <c r="AL17" i="6"/>
  <c r="AG31" i="8"/>
  <c r="AK32" i="8"/>
  <c r="Y32" i="8"/>
  <c r="W33" i="8"/>
  <c r="AF33" i="8"/>
  <c r="AG9" i="7"/>
  <c r="AL14" i="7"/>
  <c r="AG14" i="7"/>
  <c r="G14" i="7"/>
  <c r="P20" i="7"/>
  <c r="AG20" i="7"/>
  <c r="W24" i="7"/>
  <c r="AK24" i="7" s="1"/>
  <c r="AF24" i="7"/>
  <c r="Q39" i="6"/>
  <c r="O10" i="6"/>
  <c r="P10" i="3" s="1"/>
  <c r="S10" i="6"/>
  <c r="S10" i="3" s="1"/>
  <c r="W28" i="6"/>
  <c r="AK28" i="6" s="1"/>
  <c r="AF28" i="6"/>
  <c r="R39" i="8"/>
  <c r="P10" i="8"/>
  <c r="G29" i="8"/>
  <c r="AG36" i="8"/>
  <c r="G36" i="8"/>
  <c r="G9" i="7"/>
  <c r="AL17" i="7"/>
  <c r="G17" i="7"/>
  <c r="O21" i="7"/>
  <c r="P21" i="7" s="1"/>
  <c r="S21" i="7"/>
  <c r="O24" i="7"/>
  <c r="P24" i="7" s="1"/>
  <c r="S24" i="7"/>
  <c r="S24" i="3" s="1"/>
  <c r="AL26" i="7"/>
  <c r="G26" i="7"/>
  <c r="P29" i="7"/>
  <c r="AG29" i="7"/>
  <c r="S24" i="6"/>
  <c r="O24" i="6"/>
  <c r="P24" i="6" s="1"/>
  <c r="Y31" i="6"/>
  <c r="AL31" i="6"/>
  <c r="AL25" i="8"/>
  <c r="Y26" i="8"/>
  <c r="P28" i="8"/>
  <c r="AL31" i="8"/>
  <c r="P33" i="8"/>
  <c r="AL33" i="8"/>
  <c r="Q39" i="8"/>
  <c r="Y8" i="7"/>
  <c r="AG11" i="7"/>
  <c r="AK14" i="7"/>
  <c r="Y14" i="7"/>
  <c r="AG17" i="7"/>
  <c r="AF22" i="7"/>
  <c r="W22" i="7"/>
  <c r="P25" i="7"/>
  <c r="AG25" i="7"/>
  <c r="AL28" i="7"/>
  <c r="Y28" i="7"/>
  <c r="O23" i="7"/>
  <c r="S23" i="7"/>
  <c r="AL11" i="6"/>
  <c r="AK19" i="5"/>
  <c r="Y19" i="5"/>
  <c r="Y24" i="5"/>
  <c r="AL24" i="5"/>
  <c r="R39" i="7"/>
  <c r="Q43" i="7"/>
  <c r="Q39" i="7"/>
  <c r="Y26" i="7"/>
  <c r="AG27" i="7"/>
  <c r="P34" i="7"/>
  <c r="AG34" i="7"/>
  <c r="G36" i="7"/>
  <c r="AL36" i="7"/>
  <c r="AL13" i="6"/>
  <c r="AF22" i="6"/>
  <c r="W22" i="6"/>
  <c r="AK22" i="6" s="1"/>
  <c r="AF25" i="6"/>
  <c r="W25" i="6"/>
  <c r="AK25" i="6" s="1"/>
  <c r="P25" i="6"/>
  <c r="O37" i="8"/>
  <c r="O8" i="7"/>
  <c r="G15" i="7"/>
  <c r="AL16" i="7"/>
  <c r="Y18" i="7"/>
  <c r="O19" i="7"/>
  <c r="P19" i="7" s="1"/>
  <c r="AL20" i="7"/>
  <c r="AF20" i="7"/>
  <c r="AL23" i="7"/>
  <c r="G23" i="7"/>
  <c r="G27" i="7"/>
  <c r="Y30" i="7"/>
  <c r="O8" i="6"/>
  <c r="P8" i="6" s="1"/>
  <c r="G13" i="6"/>
  <c r="AL16" i="6"/>
  <c r="AG16" i="6"/>
  <c r="G16" i="6"/>
  <c r="AF23" i="6"/>
  <c r="AL37" i="8"/>
  <c r="AL8" i="7"/>
  <c r="G10" i="7"/>
  <c r="Y23" i="7"/>
  <c r="AG30" i="7"/>
  <c r="G30" i="7"/>
  <c r="P35" i="7"/>
  <c r="W11" i="6"/>
  <c r="AK11" i="6" s="1"/>
  <c r="AF11" i="6"/>
  <c r="AG14" i="6"/>
  <c r="G14" i="6"/>
  <c r="AL14" i="6"/>
  <c r="W18" i="6"/>
  <c r="AK18" i="6" s="1"/>
  <c r="AF18" i="6"/>
  <c r="AG21" i="6"/>
  <c r="G27" i="6"/>
  <c r="AL27" i="6"/>
  <c r="W27" i="7"/>
  <c r="AK27" i="7" s="1"/>
  <c r="AF27" i="7"/>
  <c r="P28" i="7"/>
  <c r="AG28" i="7"/>
  <c r="Y33" i="7"/>
  <c r="S8" i="6"/>
  <c r="S8" i="3" s="1"/>
  <c r="Q43" i="6"/>
  <c r="AK23" i="6"/>
  <c r="Y23" i="6"/>
  <c r="AF25" i="7"/>
  <c r="W25" i="7"/>
  <c r="AK25" i="7" s="1"/>
  <c r="O26" i="7"/>
  <c r="P26" i="7" s="1"/>
  <c r="S26" i="7"/>
  <c r="AL27" i="7"/>
  <c r="AG33" i="7"/>
  <c r="G33" i="7"/>
  <c r="O36" i="7"/>
  <c r="P36" i="7" s="1"/>
  <c r="AF9" i="6"/>
  <c r="W9" i="6"/>
  <c r="AK9" i="6" s="1"/>
  <c r="O13" i="6"/>
  <c r="P13" i="6" s="1"/>
  <c r="S13" i="6"/>
  <c r="S21" i="6"/>
  <c r="S21" i="3" s="1"/>
  <c r="W27" i="5"/>
  <c r="AK27" i="5" s="1"/>
  <c r="AF27" i="5"/>
  <c r="AL37" i="7"/>
  <c r="P23" i="6"/>
  <c r="O35" i="6"/>
  <c r="P35" i="6" s="1"/>
  <c r="S35" i="6"/>
  <c r="S35" i="3" s="1"/>
  <c r="Y30" i="6"/>
  <c r="AL30" i="6"/>
  <c r="R39" i="5"/>
  <c r="Q43" i="5"/>
  <c r="Q39" i="5"/>
  <c r="AF8" i="5"/>
  <c r="W8" i="5"/>
  <c r="S26" i="5"/>
  <c r="S26" i="3" s="1"/>
  <c r="O26" i="5"/>
  <c r="P26" i="5" s="1"/>
  <c r="P27" i="5"/>
  <c r="AF30" i="7"/>
  <c r="AF33" i="7"/>
  <c r="AF36" i="7"/>
  <c r="AL26" i="6"/>
  <c r="AG26" i="6"/>
  <c r="W33" i="6"/>
  <c r="AK33" i="6" s="1"/>
  <c r="AF33" i="6"/>
  <c r="AF36" i="6"/>
  <c r="W36" i="6"/>
  <c r="AK36" i="6" s="1"/>
  <c r="W38" i="7"/>
  <c r="AK38" i="7" s="1"/>
  <c r="AL10" i="6"/>
  <c r="AG12" i="6"/>
  <c r="Y22" i="6"/>
  <c r="G26" i="6"/>
  <c r="Y29" i="6"/>
  <c r="G23" i="5"/>
  <c r="AL23" i="5"/>
  <c r="G8" i="6"/>
  <c r="G10" i="6"/>
  <c r="Y10" i="6"/>
  <c r="P15" i="6"/>
  <c r="AF15" i="6"/>
  <c r="Y19" i="6"/>
  <c r="S27" i="6"/>
  <c r="S27" i="3" s="1"/>
  <c r="O27" i="6"/>
  <c r="P27" i="6" s="1"/>
  <c r="AL32" i="6"/>
  <c r="P33" i="6"/>
  <c r="P36" i="6"/>
  <c r="C8" i="5"/>
  <c r="U8" i="5" s="1"/>
  <c r="P20" i="5"/>
  <c r="AG20" i="5"/>
  <c r="AF9" i="5"/>
  <c r="W9" i="5"/>
  <c r="AK9" i="5" s="1"/>
  <c r="G12" i="5"/>
  <c r="AL12" i="5"/>
  <c r="Y13" i="5"/>
  <c r="AL13" i="5"/>
  <c r="Y32" i="5"/>
  <c r="AK36" i="5"/>
  <c r="P37" i="5"/>
  <c r="AG37" i="5"/>
  <c r="O9" i="6"/>
  <c r="O9" i="3" s="1"/>
  <c r="AG9" i="3" s="1"/>
  <c r="AF13" i="6"/>
  <c r="Y17" i="6"/>
  <c r="AG24" i="6"/>
  <c r="G24" i="6"/>
  <c r="AL24" i="6"/>
  <c r="AK37" i="6"/>
  <c r="Y37" i="6"/>
  <c r="L3" i="6"/>
  <c r="AL12" i="6"/>
  <c r="AL19" i="6"/>
  <c r="O22" i="6"/>
  <c r="P22" i="6" s="1"/>
  <c r="AG23" i="6"/>
  <c r="AG35" i="6"/>
  <c r="Y35" i="6"/>
  <c r="AG38" i="6"/>
  <c r="P8" i="5"/>
  <c r="S11" i="5"/>
  <c r="O11" i="5"/>
  <c r="P11" i="3" s="1"/>
  <c r="P18" i="5"/>
  <c r="G18" i="6"/>
  <c r="AL18" i="6"/>
  <c r="AF26" i="6"/>
  <c r="Y34" i="6"/>
  <c r="G35" i="6"/>
  <c r="AG36" i="6"/>
  <c r="G38" i="6"/>
  <c r="G22" i="5"/>
  <c r="AL22" i="5"/>
  <c r="AK29" i="5"/>
  <c r="Y29" i="5"/>
  <c r="AK35" i="5"/>
  <c r="Y35" i="5"/>
  <c r="R39" i="6"/>
  <c r="S17" i="6"/>
  <c r="O17" i="6"/>
  <c r="P17" i="6" s="1"/>
  <c r="Y18" i="6"/>
  <c r="AL22" i="6"/>
  <c r="S26" i="6"/>
  <c r="AF27" i="6"/>
  <c r="AG29" i="6"/>
  <c r="AL29" i="6"/>
  <c r="S32" i="6"/>
  <c r="S32" i="3" s="1"/>
  <c r="Y9" i="5"/>
  <c r="AG32" i="5"/>
  <c r="P32" i="5"/>
  <c r="AL25" i="6"/>
  <c r="O28" i="6"/>
  <c r="O28" i="3" s="1"/>
  <c r="O31" i="6"/>
  <c r="P31" i="3" s="1"/>
  <c r="O34" i="6"/>
  <c r="P34" i="3" s="1"/>
  <c r="P10" i="5"/>
  <c r="W12" i="5"/>
  <c r="AK12" i="5" s="1"/>
  <c r="AF12" i="5"/>
  <c r="AF13" i="5"/>
  <c r="Y18" i="5"/>
  <c r="S22" i="5"/>
  <c r="S22" i="3" s="1"/>
  <c r="O22" i="5"/>
  <c r="P22" i="5" s="1"/>
  <c r="AG24" i="5"/>
  <c r="AL34" i="6"/>
  <c r="AL9" i="5"/>
  <c r="Y11" i="5"/>
  <c r="S12" i="5"/>
  <c r="S12" i="3" s="1"/>
  <c r="O12" i="5"/>
  <c r="P12" i="5" s="1"/>
  <c r="Y15" i="5"/>
  <c r="W23" i="5"/>
  <c r="AK23" i="5" s="1"/>
  <c r="AF23" i="5"/>
  <c r="G26" i="5"/>
  <c r="AL26" i="5"/>
  <c r="AL27" i="5"/>
  <c r="AG8" i="5"/>
  <c r="AL8" i="5"/>
  <c r="AG21" i="5"/>
  <c r="Y22" i="5"/>
  <c r="S23" i="5"/>
  <c r="S23" i="3" s="1"/>
  <c r="O23" i="5"/>
  <c r="P23" i="5" s="1"/>
  <c r="AG27" i="5"/>
  <c r="AG38" i="5"/>
  <c r="G8" i="5"/>
  <c r="AL10" i="5"/>
  <c r="G10" i="5"/>
  <c r="G11" i="5"/>
  <c r="AL11" i="5"/>
  <c r="P13" i="5"/>
  <c r="W26" i="5"/>
  <c r="AK26" i="5" s="1"/>
  <c r="AF26" i="5"/>
  <c r="Y33" i="5"/>
  <c r="AL16" i="5"/>
  <c r="AL30" i="5"/>
  <c r="AL33" i="5"/>
  <c r="AL19" i="5"/>
  <c r="W20" i="5"/>
  <c r="Y20" i="3" s="1"/>
  <c r="G21" i="5"/>
  <c r="Y25" i="5"/>
  <c r="AL36" i="5"/>
  <c r="W37" i="5"/>
  <c r="G38" i="5"/>
  <c r="Y14" i="5"/>
  <c r="Y17" i="5"/>
  <c r="Y28" i="5"/>
  <c r="Y34" i="5"/>
  <c r="AF11" i="5"/>
  <c r="G14" i="5"/>
  <c r="G17" i="5"/>
  <c r="AF22" i="5"/>
  <c r="AF25" i="5"/>
  <c r="G31" i="5"/>
  <c r="G34" i="5"/>
  <c r="AF8" i="3"/>
  <c r="J39" i="3"/>
  <c r="J43" i="3" s="1"/>
  <c r="I39" i="3"/>
  <c r="I43" i="3" s="1"/>
  <c r="H39" i="3"/>
  <c r="H43" i="3" s="1"/>
  <c r="E39" i="3"/>
  <c r="A37" i="3"/>
  <c r="V37" i="3" s="1"/>
  <c r="AJ37" i="3" s="1"/>
  <c r="A28" i="3"/>
  <c r="V28" i="3" s="1"/>
  <c r="AJ28" i="3" s="1"/>
  <c r="A34" i="3"/>
  <c r="V34" i="3" s="1"/>
  <c r="AJ34" i="3" s="1"/>
  <c r="A29" i="3"/>
  <c r="V29" i="3" s="1"/>
  <c r="AJ29" i="3" s="1"/>
  <c r="A36" i="3"/>
  <c r="V36" i="3" s="1"/>
  <c r="AJ36" i="3" s="1"/>
  <c r="A27" i="3"/>
  <c r="V27" i="3" s="1"/>
  <c r="AJ27" i="3" s="1"/>
  <c r="A10" i="3"/>
  <c r="V10" i="3" s="1"/>
  <c r="AJ10" i="3" s="1"/>
  <c r="A33" i="3"/>
  <c r="V33" i="3" s="1"/>
  <c r="AJ33" i="3" s="1"/>
  <c r="A25" i="3"/>
  <c r="V25" i="3" s="1"/>
  <c r="AJ25" i="3" s="1"/>
  <c r="A17" i="3"/>
  <c r="V17" i="3" s="1"/>
  <c r="AJ17" i="3" s="1"/>
  <c r="A9" i="3"/>
  <c r="V9" i="3" s="1"/>
  <c r="AJ9" i="3" s="1"/>
  <c r="A21" i="3"/>
  <c r="V21" i="3" s="1"/>
  <c r="AJ21" i="3" s="1"/>
  <c r="AL20" i="3"/>
  <c r="A20" i="3"/>
  <c r="V20" i="3" s="1"/>
  <c r="AJ20" i="3" s="1"/>
  <c r="A11" i="3"/>
  <c r="V11" i="3" s="1"/>
  <c r="AJ11" i="3" s="1"/>
  <c r="A26" i="3"/>
  <c r="V26" i="3" s="1"/>
  <c r="AJ26" i="3" s="1"/>
  <c r="A13" i="3"/>
  <c r="V13" i="3" s="1"/>
  <c r="AJ13" i="3" s="1"/>
  <c r="A12" i="3"/>
  <c r="V12" i="3" s="1"/>
  <c r="AJ12" i="3" s="1"/>
  <c r="A35" i="3"/>
  <c r="V35" i="3" s="1"/>
  <c r="AJ35" i="3" s="1"/>
  <c r="A19" i="3"/>
  <c r="V19" i="3" s="1"/>
  <c r="AJ19" i="3" s="1"/>
  <c r="AL36" i="3"/>
  <c r="A18" i="3"/>
  <c r="V18" i="3" s="1"/>
  <c r="AJ18" i="3" s="1"/>
  <c r="A32" i="3"/>
  <c r="V32" i="3" s="1"/>
  <c r="AJ32" i="3" s="1"/>
  <c r="A24" i="3"/>
  <c r="V24" i="3" s="1"/>
  <c r="AJ24" i="3" s="1"/>
  <c r="A16" i="3"/>
  <c r="V16" i="3" s="1"/>
  <c r="AJ16" i="3" s="1"/>
  <c r="A8" i="3"/>
  <c r="V8" i="3" s="1"/>
  <c r="AL35" i="3"/>
  <c r="AF36" i="3"/>
  <c r="A31" i="3"/>
  <c r="V31" i="3" s="1"/>
  <c r="AJ31" i="3" s="1"/>
  <c r="A23" i="3"/>
  <c r="V23" i="3" s="1"/>
  <c r="AJ23" i="3" s="1"/>
  <c r="A15" i="3"/>
  <c r="V15" i="3" s="1"/>
  <c r="AJ15" i="3" s="1"/>
  <c r="AG30" i="3"/>
  <c r="AF32" i="3"/>
  <c r="A30" i="3"/>
  <c r="V30" i="3" s="1"/>
  <c r="AJ30" i="3" s="1"/>
  <c r="A22" i="3"/>
  <c r="V22" i="3" s="1"/>
  <c r="AJ22" i="3" s="1"/>
  <c r="A14" i="3"/>
  <c r="V14" i="3" s="1"/>
  <c r="AJ14" i="3" s="1"/>
  <c r="AL34" i="3"/>
  <c r="AL30" i="3"/>
  <c r="AF20" i="3"/>
  <c r="AF28" i="3"/>
  <c r="AF15" i="3"/>
  <c r="AL33" i="3"/>
  <c r="AL29" i="3"/>
  <c r="AL25" i="3"/>
  <c r="AL21" i="3"/>
  <c r="AL13" i="3"/>
  <c r="AL9" i="3"/>
  <c r="AF24" i="3"/>
  <c r="AF12" i="3"/>
  <c r="AF19" i="3"/>
  <c r="AF27" i="3"/>
  <c r="AF11" i="3"/>
  <c r="AF30" i="3"/>
  <c r="AF26" i="3"/>
  <c r="AF22" i="3"/>
  <c r="AF18" i="3"/>
  <c r="AF14" i="3"/>
  <c r="AF10" i="3"/>
  <c r="AF35" i="3"/>
  <c r="AG33" i="3"/>
  <c r="AG25" i="3"/>
  <c r="AF37" i="3"/>
  <c r="AF33" i="3"/>
  <c r="AF25" i="3"/>
  <c r="AF21" i="3"/>
  <c r="AF13" i="3"/>
  <c r="AF9" i="3"/>
  <c r="AL24" i="3"/>
  <c r="AL19" i="3"/>
  <c r="L7" i="3"/>
  <c r="V38" i="3"/>
  <c r="AJ38" i="3" s="1"/>
  <c r="A9" i="8" l="1"/>
  <c r="L3" i="5"/>
  <c r="L3" i="23"/>
  <c r="L3" i="9"/>
  <c r="L3" i="12"/>
  <c r="L3" i="21"/>
  <c r="U9" i="20"/>
  <c r="U10" i="20" s="1"/>
  <c r="U11" i="20" s="1"/>
  <c r="U12" i="20" s="1"/>
  <c r="U13" i="20" s="1"/>
  <c r="U14" i="20" s="1"/>
  <c r="U15" i="20" s="1"/>
  <c r="U16" i="20" s="1"/>
  <c r="U17" i="20" s="1"/>
  <c r="U18" i="20" s="1"/>
  <c r="U19" i="20" s="1"/>
  <c r="U20" i="20" s="1"/>
  <c r="U21" i="20" s="1"/>
  <c r="U22" i="20" s="1"/>
  <c r="U23" i="20" s="1"/>
  <c r="U24" i="20" s="1"/>
  <c r="U25" i="20" s="1"/>
  <c r="U26" i="20" s="1"/>
  <c r="U27" i="20" s="1"/>
  <c r="U28" i="20" s="1"/>
  <c r="U29" i="20" s="1"/>
  <c r="U30" i="20" s="1"/>
  <c r="U31" i="20" s="1"/>
  <c r="U32" i="20" s="1"/>
  <c r="U33" i="20" s="1"/>
  <c r="U34" i="20" s="1"/>
  <c r="U35" i="20" s="1"/>
  <c r="U36" i="20" s="1"/>
  <c r="U37" i="20" s="1"/>
  <c r="U38" i="20" s="1"/>
  <c r="U7" i="20"/>
  <c r="U6" i="20" s="1"/>
  <c r="U3" i="20" s="1"/>
  <c r="A8" i="21"/>
  <c r="D8" i="21" s="1"/>
  <c r="AE8" i="21" s="1"/>
  <c r="U8" i="21"/>
  <c r="AI8" i="21" s="1"/>
  <c r="U9" i="5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7" i="5"/>
  <c r="U6" i="5" s="1"/>
  <c r="U3" i="5" s="1"/>
  <c r="M8" i="8"/>
  <c r="V8" i="8"/>
  <c r="AJ8" i="8" s="1"/>
  <c r="U9" i="9"/>
  <c r="U10" i="9" s="1"/>
  <c r="U11" i="9" s="1"/>
  <c r="U12" i="9" s="1"/>
  <c r="U13" i="9" s="1"/>
  <c r="U14" i="9" s="1"/>
  <c r="U15" i="9" s="1"/>
  <c r="U16" i="9" s="1"/>
  <c r="U17" i="9" s="1"/>
  <c r="U18" i="9" s="1"/>
  <c r="U19" i="9" s="1"/>
  <c r="U20" i="9" s="1"/>
  <c r="U21" i="9" s="1"/>
  <c r="U22" i="9" s="1"/>
  <c r="U23" i="9" s="1"/>
  <c r="U24" i="9" s="1"/>
  <c r="U25" i="9" s="1"/>
  <c r="U26" i="9" s="1"/>
  <c r="U27" i="9" s="1"/>
  <c r="U28" i="9" s="1"/>
  <c r="U29" i="9" s="1"/>
  <c r="U30" i="9" s="1"/>
  <c r="U31" i="9" s="1"/>
  <c r="U32" i="9" s="1"/>
  <c r="U33" i="9" s="1"/>
  <c r="U34" i="9" s="1"/>
  <c r="U35" i="9" s="1"/>
  <c r="U36" i="9" s="1"/>
  <c r="U37" i="9" s="1"/>
  <c r="U38" i="9" s="1"/>
  <c r="U7" i="9"/>
  <c r="A8" i="10"/>
  <c r="D8" i="10" s="1"/>
  <c r="AE8" i="10" s="1"/>
  <c r="U8" i="10"/>
  <c r="A8" i="19"/>
  <c r="D8" i="19" s="1"/>
  <c r="AE8" i="19" s="1"/>
  <c r="U8" i="19"/>
  <c r="U7" i="22"/>
  <c r="U6" i="22" s="1"/>
  <c r="U3" i="22" s="1"/>
  <c r="U9" i="22"/>
  <c r="U10" i="22" s="1"/>
  <c r="U11" i="22" s="1"/>
  <c r="U12" i="22" s="1"/>
  <c r="U13" i="22" s="1"/>
  <c r="U14" i="22" s="1"/>
  <c r="U15" i="22" s="1"/>
  <c r="U16" i="22" s="1"/>
  <c r="U17" i="22" s="1"/>
  <c r="U18" i="22" s="1"/>
  <c r="U19" i="22" s="1"/>
  <c r="U20" i="22" s="1"/>
  <c r="U21" i="22" s="1"/>
  <c r="U22" i="22" s="1"/>
  <c r="U23" i="22" s="1"/>
  <c r="U24" i="22" s="1"/>
  <c r="U25" i="22" s="1"/>
  <c r="U26" i="22" s="1"/>
  <c r="U27" i="22" s="1"/>
  <c r="U28" i="22" s="1"/>
  <c r="U29" i="22" s="1"/>
  <c r="U30" i="22" s="1"/>
  <c r="U31" i="22" s="1"/>
  <c r="U32" i="22" s="1"/>
  <c r="U33" i="22" s="1"/>
  <c r="U34" i="22" s="1"/>
  <c r="U35" i="22" s="1"/>
  <c r="U36" i="22" s="1"/>
  <c r="U37" i="22" s="1"/>
  <c r="U38" i="22" s="1"/>
  <c r="C9" i="13"/>
  <c r="C10" i="13" s="1"/>
  <c r="U8" i="13"/>
  <c r="AI8" i="13" s="1"/>
  <c r="M9" i="8"/>
  <c r="V9" i="8"/>
  <c r="AJ9" i="8" s="1"/>
  <c r="L3" i="4"/>
  <c r="C9" i="4"/>
  <c r="C10" i="4" s="1"/>
  <c r="U8" i="4"/>
  <c r="A8" i="17"/>
  <c r="U8" i="17"/>
  <c r="AI8" i="17" s="1"/>
  <c r="U9" i="8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U24" i="8" s="1"/>
  <c r="U25" i="8" s="1"/>
  <c r="U26" i="8" s="1"/>
  <c r="U27" i="8" s="1"/>
  <c r="U28" i="8" s="1"/>
  <c r="U29" i="8" s="1"/>
  <c r="U30" i="8" s="1"/>
  <c r="U31" i="8" s="1"/>
  <c r="U32" i="8" s="1"/>
  <c r="U33" i="8" s="1"/>
  <c r="U34" i="8" s="1"/>
  <c r="U35" i="8" s="1"/>
  <c r="U36" i="8" s="1"/>
  <c r="U37" i="8" s="1"/>
  <c r="U38" i="8" s="1"/>
  <c r="U7" i="8"/>
  <c r="U7" i="7"/>
  <c r="U6" i="7" s="1"/>
  <c r="U3" i="7" s="1"/>
  <c r="U9" i="7"/>
  <c r="U10" i="7" s="1"/>
  <c r="U11" i="7" s="1"/>
  <c r="U12" i="7" s="1"/>
  <c r="U13" i="7" s="1"/>
  <c r="U14" i="7" s="1"/>
  <c r="U15" i="7" s="1"/>
  <c r="U16" i="7" s="1"/>
  <c r="U17" i="7" s="1"/>
  <c r="U18" i="7" s="1"/>
  <c r="U19" i="7" s="1"/>
  <c r="U20" i="7" s="1"/>
  <c r="U21" i="7" s="1"/>
  <c r="U22" i="7" s="1"/>
  <c r="U23" i="7" s="1"/>
  <c r="U24" i="7" s="1"/>
  <c r="U25" i="7" s="1"/>
  <c r="U26" i="7" s="1"/>
  <c r="U27" i="7" s="1"/>
  <c r="U28" i="7" s="1"/>
  <c r="U29" i="7" s="1"/>
  <c r="U30" i="7" s="1"/>
  <c r="U31" i="7" s="1"/>
  <c r="U32" i="7" s="1"/>
  <c r="U33" i="7" s="1"/>
  <c r="U34" i="7" s="1"/>
  <c r="U35" i="7" s="1"/>
  <c r="U36" i="7" s="1"/>
  <c r="U37" i="7" s="1"/>
  <c r="U38" i="7" s="1"/>
  <c r="U7" i="14"/>
  <c r="U9" i="14"/>
  <c r="U10" i="14" s="1"/>
  <c r="U11" i="14" s="1"/>
  <c r="U12" i="14" s="1"/>
  <c r="U13" i="14" s="1"/>
  <c r="U14" i="14" s="1"/>
  <c r="U15" i="14" s="1"/>
  <c r="U16" i="14" s="1"/>
  <c r="U17" i="14" s="1"/>
  <c r="U18" i="14" s="1"/>
  <c r="U19" i="14" s="1"/>
  <c r="U20" i="14" s="1"/>
  <c r="U21" i="14" s="1"/>
  <c r="U22" i="14" s="1"/>
  <c r="U23" i="14" s="1"/>
  <c r="U24" i="14" s="1"/>
  <c r="U25" i="14" s="1"/>
  <c r="U26" i="14" s="1"/>
  <c r="U27" i="14" s="1"/>
  <c r="U28" i="14" s="1"/>
  <c r="U29" i="14" s="1"/>
  <c r="U30" i="14" s="1"/>
  <c r="U31" i="14" s="1"/>
  <c r="U32" i="14" s="1"/>
  <c r="U33" i="14" s="1"/>
  <c r="U34" i="14" s="1"/>
  <c r="U35" i="14" s="1"/>
  <c r="U36" i="14" s="1"/>
  <c r="U37" i="14" s="1"/>
  <c r="U38" i="14" s="1"/>
  <c r="U9" i="16"/>
  <c r="U10" i="16" s="1"/>
  <c r="U11" i="16" s="1"/>
  <c r="U12" i="16" s="1"/>
  <c r="U13" i="16" s="1"/>
  <c r="U14" i="16" s="1"/>
  <c r="U15" i="16" s="1"/>
  <c r="U16" i="16" s="1"/>
  <c r="U17" i="16" s="1"/>
  <c r="U18" i="16" s="1"/>
  <c r="U19" i="16" s="1"/>
  <c r="U20" i="16" s="1"/>
  <c r="U21" i="16" s="1"/>
  <c r="U22" i="16" s="1"/>
  <c r="U23" i="16" s="1"/>
  <c r="U24" i="16" s="1"/>
  <c r="U25" i="16" s="1"/>
  <c r="U26" i="16" s="1"/>
  <c r="U27" i="16" s="1"/>
  <c r="U28" i="16" s="1"/>
  <c r="U29" i="16" s="1"/>
  <c r="U30" i="16" s="1"/>
  <c r="U31" i="16" s="1"/>
  <c r="U32" i="16" s="1"/>
  <c r="U33" i="16" s="1"/>
  <c r="U34" i="16" s="1"/>
  <c r="U35" i="16" s="1"/>
  <c r="U36" i="16" s="1"/>
  <c r="U37" i="16" s="1"/>
  <c r="U38" i="16" s="1"/>
  <c r="U7" i="16"/>
  <c r="U7" i="18"/>
  <c r="U6" i="18" s="1"/>
  <c r="U3" i="18" s="1"/>
  <c r="U9" i="18"/>
  <c r="U10" i="18" s="1"/>
  <c r="U11" i="18" s="1"/>
  <c r="U12" i="18" s="1"/>
  <c r="U13" i="18" s="1"/>
  <c r="U14" i="18" s="1"/>
  <c r="U15" i="18" s="1"/>
  <c r="U16" i="18" s="1"/>
  <c r="U17" i="18" s="1"/>
  <c r="U18" i="18" s="1"/>
  <c r="U19" i="18" s="1"/>
  <c r="U20" i="18" s="1"/>
  <c r="U21" i="18" s="1"/>
  <c r="U22" i="18" s="1"/>
  <c r="U23" i="18" s="1"/>
  <c r="U24" i="18" s="1"/>
  <c r="U25" i="18" s="1"/>
  <c r="U26" i="18" s="1"/>
  <c r="U27" i="18" s="1"/>
  <c r="U28" i="18" s="1"/>
  <c r="U29" i="18" s="1"/>
  <c r="U30" i="18" s="1"/>
  <c r="U31" i="18" s="1"/>
  <c r="U32" i="18" s="1"/>
  <c r="U33" i="18" s="1"/>
  <c r="U34" i="18" s="1"/>
  <c r="U35" i="18" s="1"/>
  <c r="U36" i="18" s="1"/>
  <c r="U37" i="18" s="1"/>
  <c r="U38" i="18" s="1"/>
  <c r="A8" i="6"/>
  <c r="D8" i="6" s="1"/>
  <c r="AE8" i="6" s="1"/>
  <c r="U8" i="6"/>
  <c r="C9" i="11"/>
  <c r="C10" i="11" s="1"/>
  <c r="U8" i="11"/>
  <c r="AI8" i="11" s="1"/>
  <c r="A8" i="15"/>
  <c r="D8" i="15" s="1"/>
  <c r="AE8" i="15" s="1"/>
  <c r="U8" i="15"/>
  <c r="AI8" i="15" s="1"/>
  <c r="M8" i="23"/>
  <c r="V8" i="23"/>
  <c r="AJ8" i="23" s="1"/>
  <c r="A8" i="12"/>
  <c r="V8" i="12" s="1"/>
  <c r="AJ8" i="12" s="1"/>
  <c r="U8" i="12"/>
  <c r="L3" i="17"/>
  <c r="L3" i="16"/>
  <c r="L3" i="18"/>
  <c r="L3" i="14"/>
  <c r="L3" i="22"/>
  <c r="L3" i="11"/>
  <c r="C9" i="6"/>
  <c r="C10" i="6" s="1"/>
  <c r="L3" i="3"/>
  <c r="AK16" i="4"/>
  <c r="W16" i="3"/>
  <c r="AK16" i="3" s="1"/>
  <c r="AG23" i="15"/>
  <c r="AG20" i="17"/>
  <c r="Y36" i="15"/>
  <c r="AG16" i="3"/>
  <c r="AG8" i="6"/>
  <c r="AG10" i="6"/>
  <c r="S39" i="6"/>
  <c r="Y11" i="6"/>
  <c r="Y10" i="9"/>
  <c r="Y9" i="8"/>
  <c r="S39" i="11"/>
  <c r="Y19" i="14"/>
  <c r="Y36" i="18"/>
  <c r="Y21" i="22"/>
  <c r="AG8" i="21"/>
  <c r="Y35" i="23"/>
  <c r="AK30" i="4"/>
  <c r="W30" i="3"/>
  <c r="AK30" i="3" s="1"/>
  <c r="AK24" i="4"/>
  <c r="W24" i="3"/>
  <c r="AK24" i="3" s="1"/>
  <c r="S39" i="4"/>
  <c r="S14" i="3"/>
  <c r="AK23" i="4"/>
  <c r="Y14" i="6"/>
  <c r="AK38" i="4"/>
  <c r="W38" i="3"/>
  <c r="AK38" i="3" s="1"/>
  <c r="O22" i="3"/>
  <c r="AG22" i="3" s="1"/>
  <c r="Y11" i="3"/>
  <c r="W10" i="3"/>
  <c r="AK10" i="3" s="1"/>
  <c r="O21" i="3"/>
  <c r="AG21" i="3" s="1"/>
  <c r="Y17" i="3"/>
  <c r="Y18" i="16"/>
  <c r="AK18" i="16"/>
  <c r="Y9" i="3"/>
  <c r="AK11" i="4"/>
  <c r="W11" i="3"/>
  <c r="AK11" i="3" s="1"/>
  <c r="Y36" i="3"/>
  <c r="P20" i="3"/>
  <c r="P23" i="3"/>
  <c r="Y31" i="3"/>
  <c r="P37" i="3"/>
  <c r="AK9" i="14"/>
  <c r="Y9" i="14"/>
  <c r="Y12" i="3"/>
  <c r="W31" i="3"/>
  <c r="AK31" i="3" s="1"/>
  <c r="O24" i="3"/>
  <c r="AG24" i="3" s="1"/>
  <c r="P24" i="3"/>
  <c r="Y30" i="9"/>
  <c r="R39" i="3"/>
  <c r="Y12" i="5"/>
  <c r="S39" i="5"/>
  <c r="AG23" i="5"/>
  <c r="Y31" i="7"/>
  <c r="Y33" i="6"/>
  <c r="Y22" i="15"/>
  <c r="AG13" i="13"/>
  <c r="S43" i="16"/>
  <c r="AG8" i="17"/>
  <c r="Y13" i="19"/>
  <c r="AG26" i="21"/>
  <c r="AK15" i="20"/>
  <c r="Y35" i="4"/>
  <c r="Y23" i="4"/>
  <c r="Y27" i="14"/>
  <c r="Y36" i="9"/>
  <c r="Y32" i="21"/>
  <c r="P22" i="3"/>
  <c r="Y15" i="3"/>
  <c r="O26" i="3"/>
  <c r="AG26" i="3" s="1"/>
  <c r="AK27" i="13"/>
  <c r="Y27" i="13"/>
  <c r="S13" i="3"/>
  <c r="O10" i="3"/>
  <c r="AG10" i="3" s="1"/>
  <c r="Y34" i="3"/>
  <c r="W34" i="3"/>
  <c r="AK34" i="3" s="1"/>
  <c r="O37" i="3"/>
  <c r="Y30" i="15"/>
  <c r="W36" i="3"/>
  <c r="AK36" i="3" s="1"/>
  <c r="Y38" i="20"/>
  <c r="AK28" i="4"/>
  <c r="W28" i="3"/>
  <c r="AK28" i="3" s="1"/>
  <c r="O23" i="3"/>
  <c r="Q39" i="3"/>
  <c r="AG12" i="5"/>
  <c r="AG13" i="6"/>
  <c r="Y27" i="9"/>
  <c r="AG36" i="11"/>
  <c r="Y10" i="13"/>
  <c r="Y11" i="15"/>
  <c r="Y20" i="17"/>
  <c r="S43" i="21"/>
  <c r="Y17" i="22"/>
  <c r="AG37" i="20"/>
  <c r="AG21" i="21"/>
  <c r="S34" i="3"/>
  <c r="S28" i="3"/>
  <c r="AK13" i="4"/>
  <c r="W13" i="3"/>
  <c r="AK13" i="3" s="1"/>
  <c r="Y25" i="12"/>
  <c r="Y10" i="10"/>
  <c r="Y28" i="11"/>
  <c r="AK28" i="11"/>
  <c r="P36" i="3"/>
  <c r="W26" i="3"/>
  <c r="AK26" i="3" s="1"/>
  <c r="AK26" i="4"/>
  <c r="Y13" i="3"/>
  <c r="Y16" i="3"/>
  <c r="P26" i="3"/>
  <c r="O38" i="3"/>
  <c r="AG38" i="3" s="1"/>
  <c r="AK15" i="4"/>
  <c r="W15" i="3"/>
  <c r="AK15" i="3" s="1"/>
  <c r="W21" i="3"/>
  <c r="AK21" i="3" s="1"/>
  <c r="AK37" i="4"/>
  <c r="W37" i="3"/>
  <c r="AK37" i="3" s="1"/>
  <c r="Y38" i="3"/>
  <c r="Y28" i="4"/>
  <c r="AK13" i="17"/>
  <c r="Y13" i="17"/>
  <c r="AK32" i="4"/>
  <c r="W32" i="3"/>
  <c r="AK32" i="3" s="1"/>
  <c r="W14" i="3"/>
  <c r="AK14" i="3" s="1"/>
  <c r="Y26" i="3"/>
  <c r="F39" i="3"/>
  <c r="G39" i="3" s="1"/>
  <c r="Q43" i="3"/>
  <c r="Y14" i="13"/>
  <c r="AG24" i="16"/>
  <c r="AG19" i="17"/>
  <c r="Y10" i="22"/>
  <c r="Y21" i="20"/>
  <c r="Y30" i="5"/>
  <c r="AK38" i="9"/>
  <c r="Y38" i="9"/>
  <c r="Y34" i="13"/>
  <c r="AK28" i="12"/>
  <c r="Y28" i="12"/>
  <c r="Y11" i="16"/>
  <c r="O36" i="3"/>
  <c r="Y37" i="16"/>
  <c r="AK37" i="16"/>
  <c r="AK29" i="4"/>
  <c r="W29" i="3"/>
  <c r="AK29" i="3" s="1"/>
  <c r="P38" i="3"/>
  <c r="W12" i="3"/>
  <c r="AK12" i="3" s="1"/>
  <c r="P8" i="3"/>
  <c r="O14" i="3"/>
  <c r="AG14" i="3" s="1"/>
  <c r="Y15" i="15"/>
  <c r="Y23" i="3"/>
  <c r="Y13" i="15"/>
  <c r="Y26" i="4"/>
  <c r="O35" i="3"/>
  <c r="AG35" i="3" s="1"/>
  <c r="Y15" i="22"/>
  <c r="AK15" i="22"/>
  <c r="Y10" i="12"/>
  <c r="AK20" i="4"/>
  <c r="W20" i="3"/>
  <c r="AK20" i="3" s="1"/>
  <c r="AK35" i="4"/>
  <c r="W35" i="3"/>
  <c r="AK35" i="3" s="1"/>
  <c r="AK22" i="4"/>
  <c r="W22" i="3"/>
  <c r="AK22" i="3" s="1"/>
  <c r="AG8" i="15"/>
  <c r="Y26" i="16"/>
  <c r="Y10" i="3"/>
  <c r="Y31" i="5"/>
  <c r="AG22" i="6"/>
  <c r="AG19" i="7"/>
  <c r="AG24" i="7"/>
  <c r="Y15" i="7"/>
  <c r="Y10" i="8"/>
  <c r="Y33" i="10"/>
  <c r="AG26" i="12"/>
  <c r="S39" i="12"/>
  <c r="S39" i="14"/>
  <c r="AG14" i="14"/>
  <c r="Y12" i="14"/>
  <c r="AG19" i="15"/>
  <c r="Y23" i="16"/>
  <c r="Y28" i="19"/>
  <c r="Y20" i="21"/>
  <c r="S39" i="22"/>
  <c r="Y13" i="4"/>
  <c r="AK32" i="20"/>
  <c r="C9" i="21"/>
  <c r="C10" i="21" s="1"/>
  <c r="AK33" i="4"/>
  <c r="W33" i="3"/>
  <c r="AK33" i="3" s="1"/>
  <c r="AK27" i="4"/>
  <c r="W27" i="3"/>
  <c r="AK27" i="3" s="1"/>
  <c r="S17" i="3"/>
  <c r="Y11" i="21"/>
  <c r="Y32" i="7"/>
  <c r="AK8" i="15"/>
  <c r="Y8" i="15"/>
  <c r="Y12" i="18"/>
  <c r="Y29" i="10"/>
  <c r="Y31" i="13"/>
  <c r="Y24" i="17"/>
  <c r="AK24" i="17"/>
  <c r="P9" i="3"/>
  <c r="Y10" i="11"/>
  <c r="AK10" i="11"/>
  <c r="P28" i="3"/>
  <c r="O19" i="3"/>
  <c r="O18" i="3"/>
  <c r="AG18" i="3" s="1"/>
  <c r="W17" i="3"/>
  <c r="AK17" i="3" s="1"/>
  <c r="O15" i="3"/>
  <c r="AG15" i="3" s="1"/>
  <c r="O11" i="3"/>
  <c r="O8" i="3"/>
  <c r="AG8" i="3" s="1"/>
  <c r="AK27" i="17"/>
  <c r="Y27" i="17"/>
  <c r="P14" i="3"/>
  <c r="P32" i="3"/>
  <c r="Y20" i="22"/>
  <c r="AK20" i="22"/>
  <c r="P35" i="3"/>
  <c r="Y32" i="12"/>
  <c r="Y14" i="3"/>
  <c r="O17" i="3"/>
  <c r="AG17" i="3" s="1"/>
  <c r="AG26" i="5"/>
  <c r="Y20" i="8"/>
  <c r="Y36" i="14"/>
  <c r="P27" i="3"/>
  <c r="O27" i="3"/>
  <c r="AG27" i="3" s="1"/>
  <c r="O13" i="3"/>
  <c r="AG13" i="3" s="1"/>
  <c r="P13" i="3"/>
  <c r="Y32" i="4"/>
  <c r="Y22" i="4"/>
  <c r="Y11" i="7"/>
  <c r="Y20" i="16"/>
  <c r="AK20" i="16"/>
  <c r="AK28" i="13"/>
  <c r="Y28" i="13"/>
  <c r="Y21" i="8"/>
  <c r="P29" i="3"/>
  <c r="S11" i="3"/>
  <c r="P12" i="3"/>
  <c r="Y14" i="20"/>
  <c r="P19" i="3"/>
  <c r="AK25" i="4"/>
  <c r="W25" i="3"/>
  <c r="AK25" i="3" s="1"/>
  <c r="Y33" i="16"/>
  <c r="AK18" i="4"/>
  <c r="W18" i="3"/>
  <c r="AK18" i="3" s="1"/>
  <c r="P15" i="3"/>
  <c r="Y29" i="3"/>
  <c r="Y21" i="3"/>
  <c r="Y25" i="3"/>
  <c r="Y36" i="19"/>
  <c r="Y33" i="3"/>
  <c r="Y30" i="3"/>
  <c r="C9" i="19"/>
  <c r="C10" i="19" s="1"/>
  <c r="A8" i="4"/>
  <c r="V8" i="4" s="1"/>
  <c r="C9" i="12"/>
  <c r="A9" i="12" s="1"/>
  <c r="A8" i="13"/>
  <c r="V8" i="13" s="1"/>
  <c r="A8" i="11"/>
  <c r="V8" i="11" s="1"/>
  <c r="C9" i="10"/>
  <c r="C10" i="10" s="1"/>
  <c r="A8" i="9"/>
  <c r="C9" i="9"/>
  <c r="C9" i="15"/>
  <c r="C10" i="15" s="1"/>
  <c r="Y37" i="5"/>
  <c r="AK37" i="5"/>
  <c r="AI8" i="8"/>
  <c r="AK14" i="8"/>
  <c r="Y14" i="8"/>
  <c r="P27" i="9"/>
  <c r="AG27" i="9"/>
  <c r="P10" i="10"/>
  <c r="AK13" i="11"/>
  <c r="Y13" i="11"/>
  <c r="AK9" i="11"/>
  <c r="Y9" i="11"/>
  <c r="S39" i="21"/>
  <c r="Y25" i="19"/>
  <c r="AK25" i="19"/>
  <c r="A7" i="23"/>
  <c r="C10" i="23"/>
  <c r="A9" i="23"/>
  <c r="A8" i="5"/>
  <c r="C9" i="5"/>
  <c r="Y36" i="6"/>
  <c r="Y24" i="7"/>
  <c r="AK33" i="8"/>
  <c r="Y33" i="8"/>
  <c r="Y34" i="7"/>
  <c r="Y25" i="8"/>
  <c r="Y13" i="7"/>
  <c r="P10" i="9"/>
  <c r="AG10" i="9"/>
  <c r="AK13" i="10"/>
  <c r="Y13" i="10"/>
  <c r="AK27" i="10"/>
  <c r="Y27" i="10"/>
  <c r="AG20" i="12"/>
  <c r="P20" i="12"/>
  <c r="Y27" i="11"/>
  <c r="P35" i="8"/>
  <c r="AG35" i="8"/>
  <c r="Y20" i="11"/>
  <c r="AG27" i="12"/>
  <c r="AG23" i="11"/>
  <c r="AI8" i="9"/>
  <c r="AG26" i="15"/>
  <c r="P10" i="15"/>
  <c r="AG13" i="14"/>
  <c r="P14" i="12"/>
  <c r="AG14" i="12"/>
  <c r="AD8" i="16"/>
  <c r="AG34" i="17"/>
  <c r="P37" i="19"/>
  <c r="AG37" i="19"/>
  <c r="AD8" i="18"/>
  <c r="Y16" i="11"/>
  <c r="Y23" i="22"/>
  <c r="Y24" i="4"/>
  <c r="AG13" i="4"/>
  <c r="P13" i="4"/>
  <c r="Y25" i="21"/>
  <c r="AG15" i="17"/>
  <c r="Y21" i="19"/>
  <c r="AG24" i="22"/>
  <c r="D8" i="23"/>
  <c r="AE8" i="23" s="1"/>
  <c r="P8" i="7"/>
  <c r="AG8" i="7"/>
  <c r="P24" i="9"/>
  <c r="AG24" i="9"/>
  <c r="AG9" i="12"/>
  <c r="P9" i="12"/>
  <c r="Y36" i="8"/>
  <c r="AK36" i="8"/>
  <c r="P36" i="12"/>
  <c r="AG36" i="12"/>
  <c r="AK16" i="10"/>
  <c r="Y16" i="10"/>
  <c r="C10" i="17"/>
  <c r="A9" i="17"/>
  <c r="P27" i="23"/>
  <c r="S43" i="23" s="1"/>
  <c r="AG27" i="23"/>
  <c r="AG31" i="6"/>
  <c r="P31" i="6"/>
  <c r="P37" i="8"/>
  <c r="AG37" i="8"/>
  <c r="Y25" i="9"/>
  <c r="AK25" i="9"/>
  <c r="C9" i="7"/>
  <c r="A8" i="7"/>
  <c r="P22" i="10"/>
  <c r="AG22" i="10"/>
  <c r="AG11" i="8"/>
  <c r="AG38" i="13"/>
  <c r="P38" i="13"/>
  <c r="Y30" i="10"/>
  <c r="AG17" i="12"/>
  <c r="Y38" i="12"/>
  <c r="AK38" i="12"/>
  <c r="P10" i="12"/>
  <c r="Y8" i="10"/>
  <c r="AD8" i="11"/>
  <c r="AG21" i="12"/>
  <c r="Y33" i="11"/>
  <c r="AG34" i="14"/>
  <c r="P20" i="15"/>
  <c r="AG20" i="15"/>
  <c r="Y23" i="14"/>
  <c r="Y21" i="16"/>
  <c r="AK33" i="17"/>
  <c r="Y33" i="17"/>
  <c r="Y17" i="16"/>
  <c r="AG23" i="19"/>
  <c r="P21" i="20"/>
  <c r="AG21" i="20"/>
  <c r="Y11" i="19"/>
  <c r="A6" i="23"/>
  <c r="V6" i="23" s="1"/>
  <c r="AG12" i="21"/>
  <c r="Y28" i="22"/>
  <c r="Y13" i="21"/>
  <c r="Y9" i="21"/>
  <c r="AD9" i="20"/>
  <c r="Y22" i="7"/>
  <c r="AK22" i="7"/>
  <c r="Y9" i="15"/>
  <c r="Y20" i="5"/>
  <c r="AK20" i="5"/>
  <c r="Y23" i="5"/>
  <c r="AG28" i="6"/>
  <c r="P28" i="6"/>
  <c r="Y28" i="6"/>
  <c r="AG27" i="6"/>
  <c r="P10" i="6"/>
  <c r="Y28" i="8"/>
  <c r="AK28" i="8"/>
  <c r="Y17" i="8"/>
  <c r="AK17" i="8"/>
  <c r="Y25" i="7"/>
  <c r="AG35" i="11"/>
  <c r="Y8" i="12"/>
  <c r="Y26" i="13"/>
  <c r="AG31" i="14"/>
  <c r="AG29" i="11"/>
  <c r="Y14" i="16"/>
  <c r="P32" i="17"/>
  <c r="AG32" i="17"/>
  <c r="AG22" i="15"/>
  <c r="AG8" i="16"/>
  <c r="Y8" i="17"/>
  <c r="P22" i="18"/>
  <c r="AG22" i="18"/>
  <c r="AG37" i="17"/>
  <c r="AG31" i="17"/>
  <c r="P18" i="17"/>
  <c r="AG18" i="17"/>
  <c r="AG37" i="18"/>
  <c r="C9" i="18"/>
  <c r="A8" i="18"/>
  <c r="A8" i="22"/>
  <c r="C9" i="22"/>
  <c r="AG38" i="23"/>
  <c r="AG23" i="21"/>
  <c r="AD8" i="22"/>
  <c r="A8" i="20"/>
  <c r="C9" i="20"/>
  <c r="Y30" i="4"/>
  <c r="Y12" i="22"/>
  <c r="Y27" i="21"/>
  <c r="Y31" i="22"/>
  <c r="Y10" i="18"/>
  <c r="AG38" i="21"/>
  <c r="Y32" i="23"/>
  <c r="D8" i="8"/>
  <c r="AE8" i="8" s="1"/>
  <c r="Y30" i="11"/>
  <c r="AK30" i="11"/>
  <c r="P29" i="13"/>
  <c r="AG29" i="13"/>
  <c r="P35" i="17"/>
  <c r="AG35" i="17"/>
  <c r="A7" i="22"/>
  <c r="Y27" i="5"/>
  <c r="P11" i="5"/>
  <c r="AG11" i="5"/>
  <c r="Y26" i="5"/>
  <c r="P23" i="7"/>
  <c r="AG23" i="7"/>
  <c r="AG19" i="9"/>
  <c r="P19" i="9"/>
  <c r="S39" i="7"/>
  <c r="P34" i="10"/>
  <c r="AG34" i="10"/>
  <c r="P14" i="10"/>
  <c r="AG14" i="10"/>
  <c r="P11" i="10"/>
  <c r="AG11" i="10"/>
  <c r="D9" i="8"/>
  <c r="AE9" i="8" s="1"/>
  <c r="AG21" i="13"/>
  <c r="P21" i="13"/>
  <c r="AK24" i="11"/>
  <c r="Y24" i="11"/>
  <c r="Y24" i="10"/>
  <c r="AK24" i="10"/>
  <c r="A8" i="14"/>
  <c r="C9" i="14"/>
  <c r="P27" i="14"/>
  <c r="AG27" i="14"/>
  <c r="AG12" i="15"/>
  <c r="Y16" i="12"/>
  <c r="AK16" i="12"/>
  <c r="AK30" i="17"/>
  <c r="Y30" i="17"/>
  <c r="Y20" i="15"/>
  <c r="P19" i="18"/>
  <c r="AG19" i="18"/>
  <c r="Y13" i="18"/>
  <c r="AG17" i="17"/>
  <c r="Y37" i="17"/>
  <c r="P9" i="19"/>
  <c r="AG9" i="19"/>
  <c r="P10" i="19"/>
  <c r="Y12" i="20"/>
  <c r="AG11" i="20"/>
  <c r="Y26" i="20"/>
  <c r="Y22" i="21"/>
  <c r="P32" i="11"/>
  <c r="S43" i="11" s="1"/>
  <c r="AG32" i="11"/>
  <c r="P34" i="6"/>
  <c r="AG34" i="6"/>
  <c r="AG22" i="5"/>
  <c r="P32" i="13"/>
  <c r="AG32" i="13"/>
  <c r="Y30" i="13"/>
  <c r="AK30" i="13"/>
  <c r="AD8" i="21"/>
  <c r="P24" i="4"/>
  <c r="S43" i="4" s="1"/>
  <c r="AG24" i="4"/>
  <c r="AG36" i="7"/>
  <c r="Y27" i="7"/>
  <c r="P36" i="9"/>
  <c r="AG36" i="9"/>
  <c r="AG21" i="7"/>
  <c r="P23" i="8"/>
  <c r="AG23" i="8"/>
  <c r="P31" i="10"/>
  <c r="AG31" i="10"/>
  <c r="Y30" i="8"/>
  <c r="AK30" i="8"/>
  <c r="AK36" i="10"/>
  <c r="Y36" i="10"/>
  <c r="A10" i="8"/>
  <c r="C11" i="8"/>
  <c r="AG18" i="11"/>
  <c r="AD8" i="12"/>
  <c r="P24" i="14"/>
  <c r="S43" i="14" s="1"/>
  <c r="AG24" i="14"/>
  <c r="Y26" i="12"/>
  <c r="S39" i="15"/>
  <c r="Y37" i="13"/>
  <c r="AK37" i="13"/>
  <c r="AG34" i="15"/>
  <c r="P9" i="15"/>
  <c r="S43" i="15" s="1"/>
  <c r="AG9" i="15"/>
  <c r="AG10" i="15"/>
  <c r="P10" i="17"/>
  <c r="P29" i="17"/>
  <c r="AG29" i="17"/>
  <c r="AG27" i="16"/>
  <c r="Y8" i="16"/>
  <c r="Y9" i="17"/>
  <c r="P11" i="18"/>
  <c r="AG11" i="18"/>
  <c r="P36" i="18"/>
  <c r="AG36" i="18"/>
  <c r="Y31" i="19"/>
  <c r="AG13" i="19"/>
  <c r="AK21" i="18"/>
  <c r="Y21" i="18"/>
  <c r="P38" i="20"/>
  <c r="AG38" i="20"/>
  <c r="P10" i="20"/>
  <c r="AG10" i="20"/>
  <c r="AG23" i="18"/>
  <c r="AG27" i="19"/>
  <c r="Y23" i="20"/>
  <c r="Y26" i="23"/>
  <c r="Y16" i="4"/>
  <c r="AG22" i="20"/>
  <c r="P18" i="8"/>
  <c r="AG18" i="8"/>
  <c r="AK19" i="10"/>
  <c r="Y19" i="10"/>
  <c r="P12" i="13"/>
  <c r="AG12" i="13"/>
  <c r="Y21" i="23"/>
  <c r="S43" i="5"/>
  <c r="AG9" i="6"/>
  <c r="P9" i="6"/>
  <c r="Y38" i="7"/>
  <c r="AG37" i="7"/>
  <c r="AK8" i="5"/>
  <c r="Y8" i="5"/>
  <c r="Y25" i="6"/>
  <c r="AG26" i="7"/>
  <c r="Y37" i="8"/>
  <c r="AG17" i="6"/>
  <c r="P12" i="8"/>
  <c r="AG12" i="8"/>
  <c r="P28" i="10"/>
  <c r="AG28" i="10"/>
  <c r="Y9" i="6"/>
  <c r="AG10" i="10"/>
  <c r="AD9" i="10"/>
  <c r="AK37" i="12"/>
  <c r="Y37" i="12"/>
  <c r="Y19" i="11"/>
  <c r="P35" i="13"/>
  <c r="AG35" i="13"/>
  <c r="AK11" i="13"/>
  <c r="Y11" i="13"/>
  <c r="Y26" i="14"/>
  <c r="AK26" i="14"/>
  <c r="AG11" i="15"/>
  <c r="C9" i="16"/>
  <c r="A8" i="16"/>
  <c r="AK16" i="17"/>
  <c r="Y16" i="17"/>
  <c r="AG28" i="17"/>
  <c r="P8" i="18"/>
  <c r="AG8" i="18"/>
  <c r="P12" i="22"/>
  <c r="S43" i="22" s="1"/>
  <c r="AG12" i="22"/>
  <c r="AG24" i="19"/>
  <c r="Y24" i="21"/>
  <c r="Y34" i="22"/>
  <c r="A9" i="4"/>
  <c r="P26" i="19"/>
  <c r="AG26" i="19"/>
  <c r="AG9" i="20"/>
  <c r="Y38" i="22"/>
  <c r="P27" i="4"/>
  <c r="AG27" i="4"/>
  <c r="Y26" i="22"/>
  <c r="E43" i="3"/>
  <c r="AJ8" i="3"/>
  <c r="U9" i="3"/>
  <c r="U10" i="3" s="1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AG19" i="3"/>
  <c r="AG29" i="3"/>
  <c r="AG11" i="3"/>
  <c r="AG36" i="3"/>
  <c r="L8" i="3"/>
  <c r="A6" i="3"/>
  <c r="V6" i="3" s="1"/>
  <c r="A7" i="3"/>
  <c r="V7" i="3" s="1"/>
  <c r="AL28" i="3"/>
  <c r="AL11" i="3"/>
  <c r="AG23" i="3"/>
  <c r="AL23" i="3"/>
  <c r="AL31" i="3"/>
  <c r="AL27" i="3"/>
  <c r="AL38" i="3"/>
  <c r="AL15" i="3"/>
  <c r="AG12" i="3"/>
  <c r="AG32" i="3"/>
  <c r="AG37" i="3"/>
  <c r="AI8" i="3"/>
  <c r="D38" i="3"/>
  <c r="AE38" i="3" s="1"/>
  <c r="M38" i="3"/>
  <c r="D22" i="3"/>
  <c r="AE22" i="3" s="1"/>
  <c r="M22" i="3"/>
  <c r="D37" i="3"/>
  <c r="AE37" i="3" s="1"/>
  <c r="M37" i="3"/>
  <c r="D21" i="3"/>
  <c r="AE21" i="3" s="1"/>
  <c r="M21" i="3"/>
  <c r="D36" i="3"/>
  <c r="AE36" i="3" s="1"/>
  <c r="M36" i="3"/>
  <c r="D20" i="3"/>
  <c r="AE20" i="3" s="1"/>
  <c r="M20" i="3"/>
  <c r="D35" i="3"/>
  <c r="AE35" i="3" s="1"/>
  <c r="M35" i="3"/>
  <c r="D19" i="3"/>
  <c r="AE19" i="3" s="1"/>
  <c r="M19" i="3"/>
  <c r="D34" i="3"/>
  <c r="AE34" i="3" s="1"/>
  <c r="M34" i="3"/>
  <c r="D18" i="3"/>
  <c r="AE18" i="3" s="1"/>
  <c r="M18" i="3"/>
  <c r="D33" i="3"/>
  <c r="AE33" i="3" s="1"/>
  <c r="M33" i="3"/>
  <c r="D17" i="3"/>
  <c r="AE17" i="3" s="1"/>
  <c r="M17" i="3"/>
  <c r="D32" i="3"/>
  <c r="AE32" i="3" s="1"/>
  <c r="M32" i="3"/>
  <c r="D16" i="3"/>
  <c r="AE16" i="3" s="1"/>
  <c r="M16" i="3"/>
  <c r="D31" i="3"/>
  <c r="AE31" i="3" s="1"/>
  <c r="M31" i="3"/>
  <c r="D15" i="3"/>
  <c r="AE15" i="3" s="1"/>
  <c r="M15" i="3"/>
  <c r="D30" i="3"/>
  <c r="AE30" i="3" s="1"/>
  <c r="M30" i="3"/>
  <c r="D14" i="3"/>
  <c r="AE14" i="3" s="1"/>
  <c r="M14" i="3"/>
  <c r="D29" i="3"/>
  <c r="AE29" i="3" s="1"/>
  <c r="M29" i="3"/>
  <c r="D13" i="3"/>
  <c r="AE13" i="3" s="1"/>
  <c r="M13" i="3"/>
  <c r="D28" i="3"/>
  <c r="AE28" i="3" s="1"/>
  <c r="M28" i="3"/>
  <c r="D12" i="3"/>
  <c r="AE12" i="3" s="1"/>
  <c r="M12" i="3"/>
  <c r="D27" i="3"/>
  <c r="AE27" i="3" s="1"/>
  <c r="M27" i="3"/>
  <c r="D11" i="3"/>
  <c r="AE11" i="3" s="1"/>
  <c r="M11" i="3"/>
  <c r="D26" i="3"/>
  <c r="AE26" i="3" s="1"/>
  <c r="M26" i="3"/>
  <c r="D10" i="3"/>
  <c r="AE10" i="3" s="1"/>
  <c r="M10" i="3"/>
  <c r="D25" i="3"/>
  <c r="AE25" i="3" s="1"/>
  <c r="M25" i="3"/>
  <c r="D9" i="3"/>
  <c r="AE9" i="3" s="1"/>
  <c r="M9" i="3"/>
  <c r="D24" i="3"/>
  <c r="AE24" i="3" s="1"/>
  <c r="M24" i="3"/>
  <c r="D8" i="3"/>
  <c r="AE8" i="3" s="1"/>
  <c r="M8" i="3"/>
  <c r="D23" i="3"/>
  <c r="AE23" i="3" s="1"/>
  <c r="M23" i="3"/>
  <c r="A9" i="13" l="1"/>
  <c r="A6" i="18"/>
  <c r="V6" i="18" s="1"/>
  <c r="A6" i="20"/>
  <c r="V6" i="20" s="1"/>
  <c r="A9" i="6"/>
  <c r="M9" i="6" s="1"/>
  <c r="D8" i="13"/>
  <c r="AE8" i="13" s="1"/>
  <c r="M8" i="12"/>
  <c r="A7" i="18"/>
  <c r="M7" i="18" s="1"/>
  <c r="A6" i="7"/>
  <c r="V6" i="7" s="1"/>
  <c r="D8" i="12"/>
  <c r="AE8" i="12" s="1"/>
  <c r="A9" i="11"/>
  <c r="M9" i="11" s="1"/>
  <c r="A7" i="5"/>
  <c r="V7" i="5" s="1"/>
  <c r="A7" i="20"/>
  <c r="M7" i="20" s="1"/>
  <c r="A6" i="5"/>
  <c r="V6" i="5" s="1"/>
  <c r="A7" i="7"/>
  <c r="V7" i="7" s="1"/>
  <c r="M8" i="17"/>
  <c r="V8" i="17"/>
  <c r="AJ8" i="17" s="1"/>
  <c r="D8" i="17"/>
  <c r="AE8" i="17" s="1"/>
  <c r="M8" i="16"/>
  <c r="V8" i="16"/>
  <c r="AJ8" i="16" s="1"/>
  <c r="M8" i="22"/>
  <c r="V8" i="22"/>
  <c r="AJ8" i="22" s="1"/>
  <c r="U6" i="14"/>
  <c r="A7" i="14"/>
  <c r="U7" i="19"/>
  <c r="U9" i="19"/>
  <c r="U10" i="19" s="1"/>
  <c r="U11" i="19" s="1"/>
  <c r="U12" i="19" s="1"/>
  <c r="U13" i="19" s="1"/>
  <c r="U14" i="19" s="1"/>
  <c r="U15" i="19" s="1"/>
  <c r="U16" i="19" s="1"/>
  <c r="U17" i="19" s="1"/>
  <c r="U18" i="19" s="1"/>
  <c r="U19" i="19" s="1"/>
  <c r="U20" i="19" s="1"/>
  <c r="U21" i="19" s="1"/>
  <c r="U22" i="19" s="1"/>
  <c r="U23" i="19" s="1"/>
  <c r="U24" i="19" s="1"/>
  <c r="U25" i="19" s="1"/>
  <c r="U26" i="19" s="1"/>
  <c r="U27" i="19" s="1"/>
  <c r="U28" i="19" s="1"/>
  <c r="U29" i="19" s="1"/>
  <c r="U30" i="19" s="1"/>
  <c r="U31" i="19" s="1"/>
  <c r="U32" i="19" s="1"/>
  <c r="U33" i="19" s="1"/>
  <c r="U34" i="19" s="1"/>
  <c r="U35" i="19" s="1"/>
  <c r="U36" i="19" s="1"/>
  <c r="U37" i="19" s="1"/>
  <c r="U38" i="19" s="1"/>
  <c r="M8" i="18"/>
  <c r="V8" i="18"/>
  <c r="AJ8" i="18" s="1"/>
  <c r="A6" i="22"/>
  <c r="V6" i="22" s="1"/>
  <c r="M8" i="7"/>
  <c r="V8" i="7"/>
  <c r="AJ8" i="7" s="1"/>
  <c r="U9" i="12"/>
  <c r="U10" i="12" s="1"/>
  <c r="U11" i="12" s="1"/>
  <c r="U12" i="12" s="1"/>
  <c r="U13" i="12" s="1"/>
  <c r="U14" i="12" s="1"/>
  <c r="U15" i="12" s="1"/>
  <c r="U16" i="12" s="1"/>
  <c r="U17" i="12" s="1"/>
  <c r="U18" i="12" s="1"/>
  <c r="U19" i="12" s="1"/>
  <c r="U20" i="12" s="1"/>
  <c r="U21" i="12" s="1"/>
  <c r="U22" i="12" s="1"/>
  <c r="U23" i="12" s="1"/>
  <c r="U24" i="12" s="1"/>
  <c r="U25" i="12" s="1"/>
  <c r="U26" i="12" s="1"/>
  <c r="U27" i="12" s="1"/>
  <c r="U28" i="12" s="1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7" i="12"/>
  <c r="U7" i="6"/>
  <c r="U9" i="6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M8" i="19"/>
  <c r="V8" i="19"/>
  <c r="AJ8" i="19" s="1"/>
  <c r="M7" i="22"/>
  <c r="V7" i="22"/>
  <c r="M9" i="17"/>
  <c r="V9" i="17"/>
  <c r="AJ9" i="17" s="1"/>
  <c r="M7" i="23"/>
  <c r="V7" i="23"/>
  <c r="U9" i="4"/>
  <c r="U10" i="4" s="1"/>
  <c r="U11" i="4" s="1"/>
  <c r="U12" i="4" s="1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U24" i="4" s="1"/>
  <c r="U25" i="4" s="1"/>
  <c r="U26" i="4" s="1"/>
  <c r="U27" i="4" s="1"/>
  <c r="U28" i="4" s="1"/>
  <c r="U29" i="4" s="1"/>
  <c r="U30" i="4" s="1"/>
  <c r="U31" i="4" s="1"/>
  <c r="U32" i="4" s="1"/>
  <c r="U33" i="4" s="1"/>
  <c r="U34" i="4" s="1"/>
  <c r="U35" i="4" s="1"/>
  <c r="U36" i="4" s="1"/>
  <c r="U37" i="4" s="1"/>
  <c r="U38" i="4" s="1"/>
  <c r="U7" i="4"/>
  <c r="M10" i="8"/>
  <c r="V10" i="8"/>
  <c r="AJ10" i="8" s="1"/>
  <c r="AI9" i="14"/>
  <c r="AI8" i="4"/>
  <c r="M8" i="9"/>
  <c r="V8" i="9"/>
  <c r="AJ8" i="9" s="1"/>
  <c r="M8" i="6"/>
  <c r="V8" i="6"/>
  <c r="AJ8" i="6" s="1"/>
  <c r="U7" i="10"/>
  <c r="U9" i="10"/>
  <c r="U10" i="10" s="1"/>
  <c r="U11" i="10" s="1"/>
  <c r="U12" i="10" s="1"/>
  <c r="U13" i="10" s="1"/>
  <c r="U14" i="10" s="1"/>
  <c r="U15" i="10" s="1"/>
  <c r="U16" i="10" s="1"/>
  <c r="U17" i="10" s="1"/>
  <c r="U18" i="10" s="1"/>
  <c r="U19" i="10" s="1"/>
  <c r="U20" i="10" s="1"/>
  <c r="U21" i="10" s="1"/>
  <c r="U22" i="10" s="1"/>
  <c r="U23" i="10" s="1"/>
  <c r="U24" i="10" s="1"/>
  <c r="U25" i="10" s="1"/>
  <c r="U26" i="10" s="1"/>
  <c r="U27" i="10" s="1"/>
  <c r="U28" i="10" s="1"/>
  <c r="U29" i="10" s="1"/>
  <c r="U30" i="10" s="1"/>
  <c r="U31" i="10" s="1"/>
  <c r="U32" i="10" s="1"/>
  <c r="U33" i="10" s="1"/>
  <c r="U34" i="10" s="1"/>
  <c r="U35" i="10" s="1"/>
  <c r="U36" i="10" s="1"/>
  <c r="U37" i="10" s="1"/>
  <c r="U38" i="10" s="1"/>
  <c r="U9" i="21"/>
  <c r="U10" i="21" s="1"/>
  <c r="U11" i="21" s="1"/>
  <c r="U12" i="21" s="1"/>
  <c r="U13" i="21" s="1"/>
  <c r="U14" i="21" s="1"/>
  <c r="U15" i="21" s="1"/>
  <c r="U16" i="21" s="1"/>
  <c r="U17" i="21" s="1"/>
  <c r="U18" i="21" s="1"/>
  <c r="U19" i="21" s="1"/>
  <c r="U20" i="21" s="1"/>
  <c r="U21" i="21" s="1"/>
  <c r="U22" i="21" s="1"/>
  <c r="U23" i="21" s="1"/>
  <c r="U24" i="21" s="1"/>
  <c r="U25" i="21" s="1"/>
  <c r="U26" i="21" s="1"/>
  <c r="U27" i="21" s="1"/>
  <c r="U28" i="21" s="1"/>
  <c r="U29" i="21" s="1"/>
  <c r="U30" i="21" s="1"/>
  <c r="U31" i="21" s="1"/>
  <c r="U32" i="21" s="1"/>
  <c r="U33" i="21" s="1"/>
  <c r="U34" i="21" s="1"/>
  <c r="U35" i="21" s="1"/>
  <c r="U36" i="21" s="1"/>
  <c r="U37" i="21" s="1"/>
  <c r="U38" i="21" s="1"/>
  <c r="U7" i="21"/>
  <c r="M8" i="15"/>
  <c r="V8" i="15"/>
  <c r="AJ8" i="15" s="1"/>
  <c r="M8" i="14"/>
  <c r="V8" i="14"/>
  <c r="M8" i="20"/>
  <c r="V8" i="20"/>
  <c r="AJ8" i="20" s="1"/>
  <c r="U6" i="8"/>
  <c r="A7" i="8"/>
  <c r="M8" i="10"/>
  <c r="V8" i="10"/>
  <c r="AJ8" i="10" s="1"/>
  <c r="M8" i="21"/>
  <c r="V8" i="21"/>
  <c r="AJ8" i="21" s="1"/>
  <c r="U7" i="11"/>
  <c r="U9" i="11"/>
  <c r="U10" i="11" s="1"/>
  <c r="U11" i="11" s="1"/>
  <c r="U12" i="11" s="1"/>
  <c r="U13" i="11" s="1"/>
  <c r="U14" i="11" s="1"/>
  <c r="U15" i="11" s="1"/>
  <c r="U16" i="11" s="1"/>
  <c r="U17" i="11" s="1"/>
  <c r="U18" i="11" s="1"/>
  <c r="U19" i="11" s="1"/>
  <c r="U20" i="11" s="1"/>
  <c r="U21" i="11" s="1"/>
  <c r="U22" i="11" s="1"/>
  <c r="U23" i="11" s="1"/>
  <c r="U24" i="11" s="1"/>
  <c r="U25" i="11" s="1"/>
  <c r="U26" i="11" s="1"/>
  <c r="U27" i="11" s="1"/>
  <c r="U28" i="11" s="1"/>
  <c r="U29" i="11" s="1"/>
  <c r="U30" i="11" s="1"/>
  <c r="U31" i="11" s="1"/>
  <c r="U32" i="11" s="1"/>
  <c r="U33" i="11" s="1"/>
  <c r="U34" i="11" s="1"/>
  <c r="U35" i="11" s="1"/>
  <c r="U36" i="11" s="1"/>
  <c r="U37" i="11" s="1"/>
  <c r="U38" i="11" s="1"/>
  <c r="M8" i="5"/>
  <c r="V8" i="5"/>
  <c r="AJ8" i="5" s="1"/>
  <c r="M9" i="12"/>
  <c r="V9" i="12"/>
  <c r="AJ9" i="12" s="1"/>
  <c r="U9" i="13"/>
  <c r="U7" i="13"/>
  <c r="U6" i="9"/>
  <c r="A7" i="9"/>
  <c r="M9" i="13"/>
  <c r="V9" i="13"/>
  <c r="AJ9" i="13" s="1"/>
  <c r="M9" i="4"/>
  <c r="V9" i="4"/>
  <c r="AJ9" i="4" s="1"/>
  <c r="M9" i="23"/>
  <c r="V9" i="23"/>
  <c r="AJ9" i="23" s="1"/>
  <c r="U7" i="15"/>
  <c r="U9" i="15"/>
  <c r="U10" i="15" s="1"/>
  <c r="U11" i="15" s="1"/>
  <c r="U12" i="15" s="1"/>
  <c r="U13" i="15" s="1"/>
  <c r="U14" i="15" s="1"/>
  <c r="U15" i="15" s="1"/>
  <c r="U16" i="15" s="1"/>
  <c r="U17" i="15" s="1"/>
  <c r="U18" i="15" s="1"/>
  <c r="U19" i="15" s="1"/>
  <c r="U20" i="15" s="1"/>
  <c r="U21" i="15" s="1"/>
  <c r="U22" i="15" s="1"/>
  <c r="U23" i="15" s="1"/>
  <c r="U24" i="15" s="1"/>
  <c r="U25" i="15" s="1"/>
  <c r="U26" i="15" s="1"/>
  <c r="U27" i="15" s="1"/>
  <c r="U28" i="15" s="1"/>
  <c r="U29" i="15" s="1"/>
  <c r="U30" i="15" s="1"/>
  <c r="U31" i="15" s="1"/>
  <c r="U32" i="15" s="1"/>
  <c r="U33" i="15" s="1"/>
  <c r="U34" i="15" s="1"/>
  <c r="U35" i="15" s="1"/>
  <c r="U36" i="15" s="1"/>
  <c r="U37" i="15" s="1"/>
  <c r="U38" i="15" s="1"/>
  <c r="U6" i="16"/>
  <c r="A7" i="16"/>
  <c r="U9" i="17"/>
  <c r="U7" i="17"/>
  <c r="D8" i="4"/>
  <c r="AE8" i="4" s="1"/>
  <c r="M8" i="4"/>
  <c r="AJ8" i="11"/>
  <c r="M8" i="11"/>
  <c r="AJ8" i="13"/>
  <c r="M8" i="13"/>
  <c r="A9" i="19"/>
  <c r="D9" i="19" s="1"/>
  <c r="AE9" i="19" s="1"/>
  <c r="AI8" i="19"/>
  <c r="F43" i="3"/>
  <c r="A9" i="21"/>
  <c r="S43" i="13"/>
  <c r="S43" i="6"/>
  <c r="S43" i="17"/>
  <c r="S43" i="12"/>
  <c r="AI8" i="6"/>
  <c r="C10" i="12"/>
  <c r="C11" i="12" s="1"/>
  <c r="S43" i="3"/>
  <c r="A9" i="10"/>
  <c r="V9" i="10" s="1"/>
  <c r="AJ8" i="4"/>
  <c r="D8" i="11"/>
  <c r="AE8" i="11" s="1"/>
  <c r="A9" i="15"/>
  <c r="V9" i="15" s="1"/>
  <c r="AI8" i="16"/>
  <c r="A9" i="9"/>
  <c r="C10" i="9"/>
  <c r="D8" i="9"/>
  <c r="AE8" i="9" s="1"/>
  <c r="AD9" i="21"/>
  <c r="D8" i="7"/>
  <c r="AE8" i="7" s="1"/>
  <c r="A10" i="19"/>
  <c r="C11" i="19"/>
  <c r="D9" i="4"/>
  <c r="AE9" i="4" s="1"/>
  <c r="S43" i="18"/>
  <c r="AD10" i="10"/>
  <c r="S43" i="20"/>
  <c r="A11" i="8"/>
  <c r="C12" i="8"/>
  <c r="AI8" i="20"/>
  <c r="AJ8" i="14"/>
  <c r="D8" i="14"/>
  <c r="AE8" i="14" s="1"/>
  <c r="AD8" i="23"/>
  <c r="AD9" i="22"/>
  <c r="D8" i="22"/>
  <c r="AE8" i="22" s="1"/>
  <c r="A10" i="15"/>
  <c r="C11" i="15"/>
  <c r="AD9" i="16"/>
  <c r="AD8" i="7"/>
  <c r="A10" i="21"/>
  <c r="C11" i="21"/>
  <c r="S43" i="10"/>
  <c r="D9" i="13"/>
  <c r="AE9" i="13" s="1"/>
  <c r="AD8" i="8"/>
  <c r="AI8" i="10"/>
  <c r="D8" i="20"/>
  <c r="AE8" i="20" s="1"/>
  <c r="AD9" i="11"/>
  <c r="AI8" i="5"/>
  <c r="AI8" i="12"/>
  <c r="D10" i="8"/>
  <c r="AE10" i="8" s="1"/>
  <c r="A9" i="7"/>
  <c r="C10" i="7"/>
  <c r="AD8" i="15"/>
  <c r="A10" i="10"/>
  <c r="C11" i="10"/>
  <c r="AD8" i="17"/>
  <c r="A10" i="13"/>
  <c r="C11" i="13"/>
  <c r="D9" i="12"/>
  <c r="AE9" i="12" s="1"/>
  <c r="C10" i="22"/>
  <c r="A9" i="22"/>
  <c r="D9" i="23"/>
  <c r="AE9" i="23" s="1"/>
  <c r="AI9" i="8"/>
  <c r="C11" i="4"/>
  <c r="A10" i="4"/>
  <c r="D8" i="18"/>
  <c r="AE8" i="18" s="1"/>
  <c r="AD9" i="12"/>
  <c r="AD9" i="18"/>
  <c r="AD8" i="4"/>
  <c r="D8" i="16"/>
  <c r="AE8" i="16" s="1"/>
  <c r="AD8" i="6"/>
  <c r="A10" i="6"/>
  <c r="C11" i="6"/>
  <c r="AI10" i="14"/>
  <c r="D9" i="11"/>
  <c r="AE9" i="11" s="1"/>
  <c r="AI8" i="7"/>
  <c r="AD10" i="20"/>
  <c r="S43" i="7"/>
  <c r="AI9" i="9"/>
  <c r="A10" i="23"/>
  <c r="C11" i="23"/>
  <c r="AD8" i="14"/>
  <c r="AD8" i="13"/>
  <c r="AD8" i="5"/>
  <c r="A9" i="18"/>
  <c r="C10" i="18"/>
  <c r="AD8" i="9"/>
  <c r="A9" i="14"/>
  <c r="C10" i="14"/>
  <c r="A10" i="11"/>
  <c r="C11" i="11"/>
  <c r="D9" i="17"/>
  <c r="AE9" i="17" s="1"/>
  <c r="C10" i="5"/>
  <c r="A9" i="5"/>
  <c r="AI8" i="18"/>
  <c r="C10" i="16"/>
  <c r="A9" i="16"/>
  <c r="S43" i="8"/>
  <c r="S43" i="19"/>
  <c r="AI8" i="22"/>
  <c r="A9" i="20"/>
  <c r="C10" i="20"/>
  <c r="C11" i="17"/>
  <c r="A10" i="17"/>
  <c r="AD8" i="19"/>
  <c r="S43" i="9"/>
  <c r="D8" i="5"/>
  <c r="AE8" i="5" s="1"/>
  <c r="AI8" i="23"/>
  <c r="X39" i="3"/>
  <c r="AL39" i="3" s="1"/>
  <c r="W39" i="3"/>
  <c r="Z39" i="3"/>
  <c r="AA39" i="3"/>
  <c r="AB39" i="3"/>
  <c r="W43" i="3"/>
  <c r="AK43" i="3" s="1"/>
  <c r="X43" i="3"/>
  <c r="Z43" i="3"/>
  <c r="AA43" i="3"/>
  <c r="AB43" i="3"/>
  <c r="L9" i="3"/>
  <c r="AD9" i="3" s="1"/>
  <c r="AD8" i="3"/>
  <c r="M7" i="3"/>
  <c r="AI9" i="3"/>
  <c r="V7" i="18" l="1"/>
  <c r="M7" i="7"/>
  <c r="V9" i="11"/>
  <c r="AJ9" i="11" s="1"/>
  <c r="D9" i="6"/>
  <c r="AE9" i="6" s="1"/>
  <c r="AI9" i="15"/>
  <c r="M7" i="5"/>
  <c r="AI9" i="19"/>
  <c r="V9" i="6"/>
  <c r="AJ9" i="6" s="1"/>
  <c r="V7" i="20"/>
  <c r="AI9" i="6"/>
  <c r="AI9" i="11"/>
  <c r="AI9" i="4"/>
  <c r="M9" i="7"/>
  <c r="V9" i="7"/>
  <c r="AJ9" i="7" s="1"/>
  <c r="M7" i="16"/>
  <c r="V7" i="16"/>
  <c r="U6" i="19"/>
  <c r="A7" i="19"/>
  <c r="M11" i="8"/>
  <c r="V11" i="8"/>
  <c r="AJ11" i="8" s="1"/>
  <c r="U6" i="21"/>
  <c r="A7" i="21"/>
  <c r="M10" i="11"/>
  <c r="V10" i="11"/>
  <c r="AJ10" i="11" s="1"/>
  <c r="M9" i="5"/>
  <c r="V9" i="5"/>
  <c r="AJ9" i="5" s="1"/>
  <c r="M10" i="23"/>
  <c r="V10" i="23"/>
  <c r="AJ10" i="23" s="1"/>
  <c r="M10" i="21"/>
  <c r="V10" i="21"/>
  <c r="AJ10" i="21" s="1"/>
  <c r="U3" i="16"/>
  <c r="A6" i="16"/>
  <c r="V6" i="16" s="1"/>
  <c r="U6" i="10"/>
  <c r="A7" i="10"/>
  <c r="M7" i="14"/>
  <c r="V7" i="14"/>
  <c r="M9" i="16"/>
  <c r="V9" i="16"/>
  <c r="AJ9" i="16" s="1"/>
  <c r="M7" i="8"/>
  <c r="V7" i="8"/>
  <c r="U10" i="17"/>
  <c r="AI9" i="17"/>
  <c r="U3" i="8"/>
  <c r="A6" i="8"/>
  <c r="V6" i="8" s="1"/>
  <c r="M9" i="20"/>
  <c r="V9" i="20"/>
  <c r="AJ9" i="20" s="1"/>
  <c r="M9" i="14"/>
  <c r="V9" i="14"/>
  <c r="AJ9" i="14" s="1"/>
  <c r="M9" i="22"/>
  <c r="V9" i="22"/>
  <c r="AJ9" i="22" s="1"/>
  <c r="M9" i="21"/>
  <c r="V9" i="21"/>
  <c r="AJ9" i="21" s="1"/>
  <c r="M7" i="9"/>
  <c r="V7" i="9"/>
  <c r="U6" i="4"/>
  <c r="A7" i="4"/>
  <c r="U3" i="14"/>
  <c r="A6" i="14"/>
  <c r="V6" i="14" s="1"/>
  <c r="M10" i="13"/>
  <c r="V10" i="13"/>
  <c r="AJ10" i="13" s="1"/>
  <c r="U6" i="15"/>
  <c r="A7" i="15"/>
  <c r="U3" i="9"/>
  <c r="A6" i="9"/>
  <c r="V6" i="9" s="1"/>
  <c r="U6" i="12"/>
  <c r="A7" i="12"/>
  <c r="AI9" i="21"/>
  <c r="M9" i="18"/>
  <c r="V9" i="18"/>
  <c r="AJ9" i="18" s="1"/>
  <c r="M10" i="6"/>
  <c r="V10" i="6"/>
  <c r="AJ10" i="6" s="1"/>
  <c r="M10" i="10"/>
  <c r="V10" i="10"/>
  <c r="AJ10" i="10" s="1"/>
  <c r="U6" i="13"/>
  <c r="A7" i="13"/>
  <c r="U6" i="17"/>
  <c r="A7" i="17"/>
  <c r="M10" i="17"/>
  <c r="V10" i="17"/>
  <c r="AJ10" i="17" s="1"/>
  <c r="M10" i="4"/>
  <c r="V10" i="4"/>
  <c r="AJ10" i="4" s="1"/>
  <c r="M10" i="15"/>
  <c r="V10" i="15"/>
  <c r="AJ10" i="15" s="1"/>
  <c r="M10" i="19"/>
  <c r="V10" i="19"/>
  <c r="AJ10" i="19" s="1"/>
  <c r="M9" i="9"/>
  <c r="V9" i="9"/>
  <c r="AJ9" i="9" s="1"/>
  <c r="M9" i="19"/>
  <c r="V9" i="19"/>
  <c r="AJ9" i="19" s="1"/>
  <c r="U10" i="13"/>
  <c r="AI9" i="13"/>
  <c r="U6" i="11"/>
  <c r="A7" i="11"/>
  <c r="U6" i="6"/>
  <c r="A7" i="6"/>
  <c r="D9" i="10"/>
  <c r="AE9" i="10" s="1"/>
  <c r="M9" i="10"/>
  <c r="AL43" i="3"/>
  <c r="D9" i="15"/>
  <c r="AE9" i="15" s="1"/>
  <c r="M9" i="15"/>
  <c r="D9" i="21"/>
  <c r="AE9" i="21" s="1"/>
  <c r="AJ9" i="10"/>
  <c r="AJ9" i="15"/>
  <c r="A10" i="12"/>
  <c r="V10" i="12" s="1"/>
  <c r="AI9" i="16"/>
  <c r="C11" i="9"/>
  <c r="A10" i="9"/>
  <c r="D9" i="9"/>
  <c r="AE9" i="9" s="1"/>
  <c r="D10" i="17"/>
  <c r="AE10" i="17" s="1"/>
  <c r="AI10" i="21"/>
  <c r="A10" i="16"/>
  <c r="C11" i="16"/>
  <c r="D9" i="5"/>
  <c r="AE9" i="5" s="1"/>
  <c r="A11" i="23"/>
  <c r="C12" i="23"/>
  <c r="AI10" i="6"/>
  <c r="D10" i="10"/>
  <c r="AE10" i="10" s="1"/>
  <c r="AI9" i="5"/>
  <c r="AD10" i="11"/>
  <c r="C12" i="21"/>
  <c r="A11" i="21"/>
  <c r="AD10" i="16"/>
  <c r="D11" i="8"/>
  <c r="AE11" i="8" s="1"/>
  <c r="D9" i="16"/>
  <c r="AE9" i="16" s="1"/>
  <c r="C12" i="10"/>
  <c r="A11" i="10"/>
  <c r="D10" i="23"/>
  <c r="AE10" i="23" s="1"/>
  <c r="AI9" i="23"/>
  <c r="A10" i="14"/>
  <c r="C11" i="14"/>
  <c r="AI10" i="15"/>
  <c r="AD9" i="6"/>
  <c r="AD10" i="12"/>
  <c r="C12" i="4"/>
  <c r="A11" i="4"/>
  <c r="AI10" i="11"/>
  <c r="A11" i="17"/>
  <c r="C12" i="17"/>
  <c r="AD9" i="17"/>
  <c r="AD9" i="19"/>
  <c r="D9" i="14"/>
  <c r="AE9" i="14" s="1"/>
  <c r="AI9" i="7"/>
  <c r="A11" i="12"/>
  <c r="C12" i="12"/>
  <c r="AI11" i="14"/>
  <c r="D9" i="22"/>
  <c r="AE9" i="22" s="1"/>
  <c r="AD9" i="15"/>
  <c r="AD9" i="7"/>
  <c r="C12" i="15"/>
  <c r="A11" i="15"/>
  <c r="AD9" i="23"/>
  <c r="C12" i="19"/>
  <c r="A11" i="19"/>
  <c r="D9" i="20"/>
  <c r="AE9" i="20" s="1"/>
  <c r="AD10" i="22"/>
  <c r="C13" i="8"/>
  <c r="A12" i="8"/>
  <c r="D10" i="4"/>
  <c r="AE10" i="4" s="1"/>
  <c r="AI9" i="22"/>
  <c r="C12" i="11"/>
  <c r="A11" i="11"/>
  <c r="C11" i="18"/>
  <c r="A10" i="18"/>
  <c r="AD9" i="5"/>
  <c r="AI10" i="9"/>
  <c r="A10" i="22"/>
  <c r="C11" i="22"/>
  <c r="C12" i="13"/>
  <c r="A11" i="13"/>
  <c r="D10" i="15"/>
  <c r="AE10" i="15" s="1"/>
  <c r="D10" i="19"/>
  <c r="AE10" i="19" s="1"/>
  <c r="AI10" i="4"/>
  <c r="A10" i="5"/>
  <c r="C11" i="5"/>
  <c r="AD9" i="4"/>
  <c r="D10" i="21"/>
  <c r="AE10" i="21" s="1"/>
  <c r="D10" i="11"/>
  <c r="AE10" i="11" s="1"/>
  <c r="D9" i="18"/>
  <c r="AE9" i="18" s="1"/>
  <c r="C12" i="6"/>
  <c r="A11" i="6"/>
  <c r="AD10" i="18"/>
  <c r="AI10" i="8"/>
  <c r="D10" i="13"/>
  <c r="AE10" i="13" s="1"/>
  <c r="AI9" i="12"/>
  <c r="AI9" i="20"/>
  <c r="AD11" i="20"/>
  <c r="D9" i="7"/>
  <c r="AE9" i="7" s="1"/>
  <c r="C11" i="20"/>
  <c r="A10" i="20"/>
  <c r="AI9" i="18"/>
  <c r="AD9" i="9"/>
  <c r="AD9" i="13"/>
  <c r="AD9" i="14"/>
  <c r="D10" i="6"/>
  <c r="AE10" i="6" s="1"/>
  <c r="C11" i="7"/>
  <c r="A10" i="7"/>
  <c r="AI10" i="19"/>
  <c r="AI9" i="10"/>
  <c r="AD9" i="8"/>
  <c r="AD11" i="10"/>
  <c r="AD10" i="21"/>
  <c r="AK39" i="3"/>
  <c r="Y39" i="3"/>
  <c r="Y43" i="3"/>
  <c r="L10" i="3"/>
  <c r="L11" i="3" s="1"/>
  <c r="AI10" i="3"/>
  <c r="A6" i="11" l="1"/>
  <c r="V6" i="11" s="1"/>
  <c r="U3" i="11"/>
  <c r="M10" i="20"/>
  <c r="V10" i="20"/>
  <c r="M12" i="8"/>
  <c r="V12" i="8"/>
  <c r="AJ12" i="8" s="1"/>
  <c r="M11" i="15"/>
  <c r="V11" i="15"/>
  <c r="AJ11" i="15" s="1"/>
  <c r="M11" i="12"/>
  <c r="V11" i="12"/>
  <c r="AJ11" i="12" s="1"/>
  <c r="M11" i="17"/>
  <c r="V11" i="17"/>
  <c r="M10" i="16"/>
  <c r="V10" i="16"/>
  <c r="U11" i="13"/>
  <c r="AI10" i="13"/>
  <c r="U3" i="13"/>
  <c r="A6" i="13"/>
  <c r="V6" i="13" s="1"/>
  <c r="M7" i="12"/>
  <c r="V7" i="12"/>
  <c r="M7" i="10"/>
  <c r="V7" i="10"/>
  <c r="M7" i="19"/>
  <c r="V7" i="19"/>
  <c r="M10" i="9"/>
  <c r="V10" i="9"/>
  <c r="U3" i="17"/>
  <c r="A6" i="17"/>
  <c r="V6" i="17" s="1"/>
  <c r="M7" i="13"/>
  <c r="V7" i="13"/>
  <c r="M10" i="7"/>
  <c r="V10" i="7"/>
  <c r="AJ10" i="7" s="1"/>
  <c r="M10" i="18"/>
  <c r="V10" i="18"/>
  <c r="AJ10" i="18" s="1"/>
  <c r="M10" i="14"/>
  <c r="V10" i="14"/>
  <c r="A6" i="12"/>
  <c r="V6" i="12" s="1"/>
  <c r="U3" i="12"/>
  <c r="U11" i="17"/>
  <c r="AI10" i="17"/>
  <c r="U3" i="10"/>
  <c r="A6" i="10"/>
  <c r="V6" i="10" s="1"/>
  <c r="A6" i="19"/>
  <c r="V6" i="19" s="1"/>
  <c r="U3" i="19"/>
  <c r="M11" i="4"/>
  <c r="V11" i="4"/>
  <c r="AJ11" i="4" s="1"/>
  <c r="U3" i="4"/>
  <c r="A6" i="4"/>
  <c r="V6" i="4" s="1"/>
  <c r="M10" i="22"/>
  <c r="V10" i="22"/>
  <c r="AJ10" i="22" s="1"/>
  <c r="M11" i="13"/>
  <c r="V11" i="13"/>
  <c r="AJ11" i="13" s="1"/>
  <c r="M7" i="6"/>
  <c r="V7" i="6"/>
  <c r="M11" i="21"/>
  <c r="V11" i="21"/>
  <c r="AJ11" i="21" s="1"/>
  <c r="M11" i="23"/>
  <c r="V11" i="23"/>
  <c r="AJ11" i="23" s="1"/>
  <c r="U3" i="6"/>
  <c r="A6" i="6"/>
  <c r="V6" i="6" s="1"/>
  <c r="M7" i="15"/>
  <c r="V7" i="15"/>
  <c r="V7" i="21"/>
  <c r="M7" i="21"/>
  <c r="M7" i="4"/>
  <c r="V7" i="4"/>
  <c r="M11" i="6"/>
  <c r="V11" i="6"/>
  <c r="AJ11" i="6" s="1"/>
  <c r="M11" i="11"/>
  <c r="V11" i="11"/>
  <c r="AJ11" i="11" s="1"/>
  <c r="M10" i="5"/>
  <c r="V10" i="5"/>
  <c r="AJ10" i="5" s="1"/>
  <c r="M11" i="19"/>
  <c r="V11" i="19"/>
  <c r="AJ11" i="19" s="1"/>
  <c r="M11" i="10"/>
  <c r="V11" i="10"/>
  <c r="AJ11" i="10" s="1"/>
  <c r="M7" i="11"/>
  <c r="V7" i="11"/>
  <c r="V7" i="17"/>
  <c r="M7" i="17"/>
  <c r="A6" i="15"/>
  <c r="V6" i="15" s="1"/>
  <c r="U3" i="15"/>
  <c r="U3" i="21"/>
  <c r="A6" i="21"/>
  <c r="V6" i="21" s="1"/>
  <c r="AJ10" i="12"/>
  <c r="M10" i="12"/>
  <c r="D10" i="12"/>
  <c r="AE10" i="12" s="1"/>
  <c r="AI10" i="16"/>
  <c r="D10" i="9"/>
  <c r="AE10" i="9" s="1"/>
  <c r="AJ10" i="9"/>
  <c r="A11" i="9"/>
  <c r="C12" i="9"/>
  <c r="A12" i="12"/>
  <c r="C13" i="12"/>
  <c r="D11" i="21"/>
  <c r="AE11" i="21" s="1"/>
  <c r="C13" i="23"/>
  <c r="A12" i="23"/>
  <c r="D10" i="7"/>
  <c r="AE10" i="7" s="1"/>
  <c r="AI10" i="20"/>
  <c r="AI10" i="12"/>
  <c r="AD10" i="23"/>
  <c r="D11" i="12"/>
  <c r="AE11" i="12" s="1"/>
  <c r="AD11" i="12"/>
  <c r="D10" i="14"/>
  <c r="AE10" i="14" s="1"/>
  <c r="AJ10" i="14"/>
  <c r="D11" i="10"/>
  <c r="AE11" i="10" s="1"/>
  <c r="A12" i="21"/>
  <c r="C13" i="21"/>
  <c r="D11" i="23"/>
  <c r="AE11" i="23" s="1"/>
  <c r="AJ10" i="16"/>
  <c r="D10" i="16"/>
  <c r="AE10" i="16" s="1"/>
  <c r="AI11" i="21"/>
  <c r="AI10" i="18"/>
  <c r="AI11" i="15"/>
  <c r="AI11" i="11"/>
  <c r="AD12" i="20"/>
  <c r="AD11" i="18"/>
  <c r="AD10" i="4"/>
  <c r="D10" i="5"/>
  <c r="AE10" i="5" s="1"/>
  <c r="C12" i="18"/>
  <c r="A11" i="18"/>
  <c r="A13" i="8"/>
  <c r="C14" i="8"/>
  <c r="AI12" i="14"/>
  <c r="AD11" i="11"/>
  <c r="AD12" i="10"/>
  <c r="AD10" i="13"/>
  <c r="A11" i="7"/>
  <c r="C12" i="7"/>
  <c r="D10" i="18"/>
  <c r="AE10" i="18" s="1"/>
  <c r="AI11" i="6"/>
  <c r="AD10" i="9"/>
  <c r="D10" i="20"/>
  <c r="AE10" i="20" s="1"/>
  <c r="AJ10" i="20"/>
  <c r="AI11" i="4"/>
  <c r="AD10" i="7"/>
  <c r="AD10" i="19"/>
  <c r="AI10" i="23"/>
  <c r="A11" i="14"/>
  <c r="C12" i="14"/>
  <c r="C12" i="5"/>
  <c r="A11" i="5"/>
  <c r="AI10" i="22"/>
  <c r="A12" i="10"/>
  <c r="C13" i="10"/>
  <c r="AD11" i="21"/>
  <c r="A11" i="20"/>
  <c r="C12" i="20"/>
  <c r="D11" i="11"/>
  <c r="AE11" i="11" s="1"/>
  <c r="D11" i="19"/>
  <c r="AE11" i="19" s="1"/>
  <c r="A12" i="17"/>
  <c r="C13" i="17"/>
  <c r="AI10" i="5"/>
  <c r="C13" i="13"/>
  <c r="A12" i="13"/>
  <c r="AD10" i="5"/>
  <c r="C12" i="16"/>
  <c r="A11" i="16"/>
  <c r="AI11" i="8"/>
  <c r="AD10" i="8"/>
  <c r="AI11" i="19"/>
  <c r="A11" i="22"/>
  <c r="C12" i="22"/>
  <c r="A12" i="11"/>
  <c r="C13" i="11"/>
  <c r="AD11" i="22"/>
  <c r="C13" i="19"/>
  <c r="A12" i="19"/>
  <c r="AD10" i="15"/>
  <c r="AJ11" i="17"/>
  <c r="D11" i="17"/>
  <c r="AE11" i="17" s="1"/>
  <c r="D11" i="4"/>
  <c r="AE11" i="4" s="1"/>
  <c r="C13" i="6"/>
  <c r="A12" i="6"/>
  <c r="C13" i="15"/>
  <c r="A12" i="15"/>
  <c r="AI10" i="7"/>
  <c r="AI10" i="10"/>
  <c r="D12" i="8"/>
  <c r="AE12" i="8" s="1"/>
  <c r="AD10" i="14"/>
  <c r="D11" i="6"/>
  <c r="AE11" i="6" s="1"/>
  <c r="D11" i="13"/>
  <c r="AE11" i="13" s="1"/>
  <c r="D10" i="22"/>
  <c r="AE10" i="22" s="1"/>
  <c r="AI11" i="9"/>
  <c r="D11" i="15"/>
  <c r="AE11" i="15" s="1"/>
  <c r="AD10" i="17"/>
  <c r="A12" i="4"/>
  <c r="C13" i="4"/>
  <c r="AD10" i="6"/>
  <c r="AD11" i="16"/>
  <c r="AD10" i="3"/>
  <c r="L12" i="3"/>
  <c r="AD11" i="3"/>
  <c r="AI11" i="3"/>
  <c r="U12" i="13" l="1"/>
  <c r="AI11" i="13"/>
  <c r="M12" i="11"/>
  <c r="V12" i="11"/>
  <c r="M11" i="5"/>
  <c r="V11" i="5"/>
  <c r="AJ11" i="5" s="1"/>
  <c r="M11" i="7"/>
  <c r="V11" i="7"/>
  <c r="AJ11" i="7" s="1"/>
  <c r="M13" i="8"/>
  <c r="V13" i="8"/>
  <c r="AJ13" i="8" s="1"/>
  <c r="M12" i="13"/>
  <c r="V12" i="13"/>
  <c r="M12" i="12"/>
  <c r="V12" i="12"/>
  <c r="AJ12" i="12" s="1"/>
  <c r="M11" i="16"/>
  <c r="V11" i="16"/>
  <c r="AJ11" i="16" s="1"/>
  <c r="M11" i="18"/>
  <c r="V11" i="18"/>
  <c r="AJ11" i="18" s="1"/>
  <c r="U12" i="17"/>
  <c r="AI11" i="17"/>
  <c r="M12" i="4"/>
  <c r="V12" i="4"/>
  <c r="AJ12" i="4" s="1"/>
  <c r="M12" i="15"/>
  <c r="V12" i="15"/>
  <c r="AJ12" i="15" s="1"/>
  <c r="M11" i="22"/>
  <c r="V11" i="22"/>
  <c r="AJ11" i="22" s="1"/>
  <c r="M12" i="21"/>
  <c r="V12" i="21"/>
  <c r="AJ12" i="21" s="1"/>
  <c r="M11" i="20"/>
  <c r="V11" i="20"/>
  <c r="AJ11" i="20" s="1"/>
  <c r="M11" i="14"/>
  <c r="V11" i="14"/>
  <c r="AJ11" i="14" s="1"/>
  <c r="M11" i="9"/>
  <c r="V11" i="9"/>
  <c r="AJ11" i="9" s="1"/>
  <c r="M12" i="23"/>
  <c r="V12" i="23"/>
  <c r="M12" i="10"/>
  <c r="V12" i="10"/>
  <c r="AJ12" i="10" s="1"/>
  <c r="M12" i="6"/>
  <c r="V12" i="6"/>
  <c r="AJ12" i="6" s="1"/>
  <c r="M12" i="19"/>
  <c r="V12" i="19"/>
  <c r="M12" i="17"/>
  <c r="V12" i="17"/>
  <c r="AJ12" i="17" s="1"/>
  <c r="AI11" i="16"/>
  <c r="A12" i="9"/>
  <c r="C13" i="9"/>
  <c r="D11" i="9"/>
  <c r="AE11" i="9" s="1"/>
  <c r="D11" i="5"/>
  <c r="AE11" i="5" s="1"/>
  <c r="A12" i="7"/>
  <c r="C13" i="7"/>
  <c r="D13" i="8"/>
  <c r="AE13" i="8" s="1"/>
  <c r="AD12" i="16"/>
  <c r="AD11" i="6"/>
  <c r="AD11" i="17"/>
  <c r="AI11" i="7"/>
  <c r="A13" i="6"/>
  <c r="C14" i="6"/>
  <c r="AD11" i="15"/>
  <c r="AD12" i="22"/>
  <c r="AI12" i="19"/>
  <c r="AI12" i="8"/>
  <c r="C13" i="20"/>
  <c r="A12" i="20"/>
  <c r="D12" i="10"/>
  <c r="AE12" i="10" s="1"/>
  <c r="C13" i="5"/>
  <c r="A12" i="5"/>
  <c r="AI12" i="4"/>
  <c r="D11" i="7"/>
  <c r="AE11" i="7" s="1"/>
  <c r="AD12" i="11"/>
  <c r="AI12" i="11"/>
  <c r="AD11" i="23"/>
  <c r="A13" i="12"/>
  <c r="C14" i="12"/>
  <c r="D11" i="20"/>
  <c r="AE11" i="20" s="1"/>
  <c r="AD13" i="10"/>
  <c r="D12" i="12"/>
  <c r="AE12" i="12" s="1"/>
  <c r="AI12" i="9"/>
  <c r="AI11" i="10"/>
  <c r="D11" i="16"/>
  <c r="AE11" i="16" s="1"/>
  <c r="A13" i="13"/>
  <c r="C14" i="13"/>
  <c r="D12" i="17"/>
  <c r="AE12" i="17" s="1"/>
  <c r="C13" i="14"/>
  <c r="A12" i="14"/>
  <c r="AI13" i="14"/>
  <c r="D11" i="18"/>
  <c r="AE11" i="18" s="1"/>
  <c r="AD13" i="20"/>
  <c r="AI12" i="21"/>
  <c r="D12" i="6"/>
  <c r="AE12" i="6" s="1"/>
  <c r="C14" i="10"/>
  <c r="A13" i="10"/>
  <c r="AD11" i="7"/>
  <c r="AD11" i="9"/>
  <c r="C14" i="11"/>
  <c r="A13" i="11"/>
  <c r="D12" i="23"/>
  <c r="AE12" i="23" s="1"/>
  <c r="AJ12" i="23"/>
  <c r="D12" i="15"/>
  <c r="AE12" i="15" s="1"/>
  <c r="C13" i="16"/>
  <c r="A12" i="16"/>
  <c r="D11" i="14"/>
  <c r="AE11" i="14" s="1"/>
  <c r="A12" i="18"/>
  <c r="C13" i="18"/>
  <c r="A13" i="4"/>
  <c r="C14" i="4"/>
  <c r="A13" i="15"/>
  <c r="C14" i="15"/>
  <c r="D12" i="11"/>
  <c r="AE12" i="11" s="1"/>
  <c r="AJ12" i="11"/>
  <c r="AD11" i="8"/>
  <c r="AD11" i="5"/>
  <c r="AI11" i="5"/>
  <c r="AI11" i="23"/>
  <c r="AD11" i="19"/>
  <c r="C14" i="21"/>
  <c r="A13" i="21"/>
  <c r="A13" i="23"/>
  <c r="C14" i="23"/>
  <c r="A13" i="17"/>
  <c r="C14" i="17"/>
  <c r="AD11" i="4"/>
  <c r="AD12" i="12"/>
  <c r="AD11" i="14"/>
  <c r="C13" i="22"/>
  <c r="A12" i="22"/>
  <c r="AD12" i="21"/>
  <c r="AI11" i="22"/>
  <c r="AD11" i="13"/>
  <c r="AI12" i="15"/>
  <c r="D12" i="21"/>
  <c r="AE12" i="21" s="1"/>
  <c r="C14" i="19"/>
  <c r="A13" i="19"/>
  <c r="D12" i="13"/>
  <c r="AE12" i="13" s="1"/>
  <c r="AJ12" i="13"/>
  <c r="D12" i="4"/>
  <c r="AE12" i="4" s="1"/>
  <c r="D12" i="19"/>
  <c r="AE12" i="19" s="1"/>
  <c r="AJ12" i="19"/>
  <c r="D11" i="22"/>
  <c r="AE11" i="22" s="1"/>
  <c r="AI12" i="6"/>
  <c r="C15" i="8"/>
  <c r="A14" i="8"/>
  <c r="AD12" i="18"/>
  <c r="AI11" i="18"/>
  <c r="AI11" i="12"/>
  <c r="AI11" i="20"/>
  <c r="L13" i="3"/>
  <c r="AD12" i="3"/>
  <c r="AI12" i="3"/>
  <c r="M13" i="12" l="1"/>
  <c r="V13" i="12"/>
  <c r="AJ13" i="12" s="1"/>
  <c r="M12" i="18"/>
  <c r="V12" i="18"/>
  <c r="M12" i="14"/>
  <c r="V12" i="14"/>
  <c r="AJ12" i="14" s="1"/>
  <c r="M12" i="9"/>
  <c r="V12" i="9"/>
  <c r="AJ12" i="9" s="1"/>
  <c r="M13" i="19"/>
  <c r="V13" i="19"/>
  <c r="AJ13" i="19" s="1"/>
  <c r="M12" i="22"/>
  <c r="V12" i="22"/>
  <c r="AJ12" i="22" s="1"/>
  <c r="M13" i="23"/>
  <c r="V13" i="23"/>
  <c r="AJ13" i="23" s="1"/>
  <c r="M13" i="11"/>
  <c r="V13" i="11"/>
  <c r="AJ13" i="11" s="1"/>
  <c r="M13" i="17"/>
  <c r="V13" i="17"/>
  <c r="AJ13" i="17" s="1"/>
  <c r="M13" i="6"/>
  <c r="V13" i="6"/>
  <c r="AJ13" i="6" s="1"/>
  <c r="M12" i="7"/>
  <c r="V12" i="7"/>
  <c r="AJ12" i="7" s="1"/>
  <c r="M13" i="4"/>
  <c r="V13" i="4"/>
  <c r="AJ13" i="4" s="1"/>
  <c r="U13" i="17"/>
  <c r="AI12" i="17"/>
  <c r="M14" i="8"/>
  <c r="V14" i="8"/>
  <c r="AJ14" i="8" s="1"/>
  <c r="M12" i="5"/>
  <c r="V12" i="5"/>
  <c r="AJ12" i="5" s="1"/>
  <c r="M12" i="20"/>
  <c r="V12" i="20"/>
  <c r="AJ12" i="20" s="1"/>
  <c r="M13" i="15"/>
  <c r="V13" i="15"/>
  <c r="AJ13" i="15" s="1"/>
  <c r="M13" i="21"/>
  <c r="V13" i="21"/>
  <c r="AJ13" i="21" s="1"/>
  <c r="M12" i="16"/>
  <c r="V12" i="16"/>
  <c r="AJ12" i="16" s="1"/>
  <c r="M13" i="13"/>
  <c r="V13" i="13"/>
  <c r="AJ13" i="13" s="1"/>
  <c r="M13" i="10"/>
  <c r="V13" i="10"/>
  <c r="AJ13" i="10" s="1"/>
  <c r="U13" i="13"/>
  <c r="AI12" i="13"/>
  <c r="AI12" i="16"/>
  <c r="C14" i="9"/>
  <c r="A13" i="9"/>
  <c r="D12" i="9"/>
  <c r="AE12" i="9" s="1"/>
  <c r="D12" i="22"/>
  <c r="AE12" i="22" s="1"/>
  <c r="D13" i="4"/>
  <c r="AE13" i="4" s="1"/>
  <c r="AI13" i="9"/>
  <c r="AD12" i="23"/>
  <c r="AI13" i="8"/>
  <c r="AI12" i="7"/>
  <c r="AI14" i="14"/>
  <c r="AI13" i="4"/>
  <c r="A13" i="22"/>
  <c r="C14" i="22"/>
  <c r="AD13" i="11"/>
  <c r="AD13" i="18"/>
  <c r="D13" i="21"/>
  <c r="AE13" i="21" s="1"/>
  <c r="D13" i="11"/>
  <c r="AE13" i="11" s="1"/>
  <c r="D13" i="13"/>
  <c r="AE13" i="13" s="1"/>
  <c r="D12" i="20"/>
  <c r="AE12" i="20" s="1"/>
  <c r="AI13" i="19"/>
  <c r="AD12" i="15"/>
  <c r="AD13" i="16"/>
  <c r="C16" i="8"/>
  <c r="A15" i="8"/>
  <c r="AD13" i="22"/>
  <c r="AD12" i="9"/>
  <c r="C15" i="13"/>
  <c r="A14" i="13"/>
  <c r="AI13" i="15"/>
  <c r="AI12" i="20"/>
  <c r="C15" i="19"/>
  <c r="A14" i="19"/>
  <c r="AD12" i="4"/>
  <c r="C15" i="21"/>
  <c r="A14" i="21"/>
  <c r="AI12" i="23"/>
  <c r="C14" i="18"/>
  <c r="A13" i="18"/>
  <c r="C15" i="11"/>
  <c r="A14" i="11"/>
  <c r="AD14" i="20"/>
  <c r="D12" i="14"/>
  <c r="AE12" i="14" s="1"/>
  <c r="AI12" i="10"/>
  <c r="D12" i="5"/>
  <c r="AE12" i="5" s="1"/>
  <c r="C14" i="20"/>
  <c r="A13" i="20"/>
  <c r="AD12" i="17"/>
  <c r="AI13" i="6"/>
  <c r="D13" i="10"/>
  <c r="AE13" i="10" s="1"/>
  <c r="AI13" i="21"/>
  <c r="C14" i="16"/>
  <c r="A13" i="16"/>
  <c r="D13" i="19"/>
  <c r="AE13" i="19" s="1"/>
  <c r="AI12" i="12"/>
  <c r="A14" i="23"/>
  <c r="C15" i="23"/>
  <c r="AD12" i="19"/>
  <c r="AD12" i="5"/>
  <c r="C15" i="15"/>
  <c r="A14" i="15"/>
  <c r="AJ12" i="18"/>
  <c r="D12" i="18"/>
  <c r="AE12" i="18" s="1"/>
  <c r="AD12" i="7"/>
  <c r="C14" i="14"/>
  <c r="A13" i="14"/>
  <c r="C14" i="5"/>
  <c r="A13" i="5"/>
  <c r="C14" i="7"/>
  <c r="A13" i="7"/>
  <c r="D12" i="16"/>
  <c r="AE12" i="16" s="1"/>
  <c r="C15" i="10"/>
  <c r="A14" i="10"/>
  <c r="AI12" i="5"/>
  <c r="AI12" i="22"/>
  <c r="AD12" i="14"/>
  <c r="D13" i="23"/>
  <c r="AE13" i="23" s="1"/>
  <c r="AD12" i="8"/>
  <c r="D13" i="15"/>
  <c r="AE13" i="15" s="1"/>
  <c r="AD14" i="10"/>
  <c r="C15" i="12"/>
  <c r="A14" i="12"/>
  <c r="AI13" i="11"/>
  <c r="C15" i="6"/>
  <c r="A14" i="6"/>
  <c r="D12" i="7"/>
  <c r="AE12" i="7" s="1"/>
  <c r="AD13" i="21"/>
  <c r="A14" i="4"/>
  <c r="C15" i="4"/>
  <c r="AI12" i="18"/>
  <c r="A14" i="17"/>
  <c r="C15" i="17"/>
  <c r="D13" i="17"/>
  <c r="AE13" i="17" s="1"/>
  <c r="D14" i="8"/>
  <c r="AE14" i="8" s="1"/>
  <c r="AD12" i="13"/>
  <c r="AD13" i="12"/>
  <c r="D13" i="12"/>
  <c r="AE13" i="12" s="1"/>
  <c r="D13" i="6"/>
  <c r="AE13" i="6" s="1"/>
  <c r="AD12" i="6"/>
  <c r="L14" i="3"/>
  <c r="AD13" i="3"/>
  <c r="AI13" i="3"/>
  <c r="M14" i="17" l="1"/>
  <c r="V14" i="17"/>
  <c r="AJ14" i="17" s="1"/>
  <c r="M14" i="12"/>
  <c r="V14" i="12"/>
  <c r="M14" i="15"/>
  <c r="V14" i="15"/>
  <c r="AJ14" i="15" s="1"/>
  <c r="M13" i="20"/>
  <c r="V13" i="20"/>
  <c r="AJ13" i="20" s="1"/>
  <c r="M14" i="11"/>
  <c r="V14" i="11"/>
  <c r="AJ14" i="11" s="1"/>
  <c r="M14" i="19"/>
  <c r="V14" i="19"/>
  <c r="AJ14" i="19" s="1"/>
  <c r="M13" i="7"/>
  <c r="V13" i="7"/>
  <c r="AJ13" i="7" s="1"/>
  <c r="M13" i="5"/>
  <c r="V13" i="5"/>
  <c r="AJ13" i="5" s="1"/>
  <c r="M13" i="16"/>
  <c r="V13" i="16"/>
  <c r="AJ13" i="16" s="1"/>
  <c r="M15" i="8"/>
  <c r="V15" i="8"/>
  <c r="AJ15" i="8" s="1"/>
  <c r="M13" i="22"/>
  <c r="V13" i="22"/>
  <c r="AJ13" i="22" s="1"/>
  <c r="M14" i="4"/>
  <c r="V14" i="4"/>
  <c r="AJ14" i="4" s="1"/>
  <c r="M13" i="18"/>
  <c r="V13" i="18"/>
  <c r="AJ13" i="18" s="1"/>
  <c r="M14" i="10"/>
  <c r="V14" i="10"/>
  <c r="AJ14" i="10" s="1"/>
  <c r="M13" i="14"/>
  <c r="V13" i="14"/>
  <c r="AJ13" i="14" s="1"/>
  <c r="U14" i="13"/>
  <c r="AI13" i="13"/>
  <c r="M13" i="9"/>
  <c r="V13" i="9"/>
  <c r="AJ13" i="9" s="1"/>
  <c r="M14" i="6"/>
  <c r="V14" i="6"/>
  <c r="M14" i="23"/>
  <c r="V14" i="23"/>
  <c r="AJ14" i="23" s="1"/>
  <c r="M14" i="21"/>
  <c r="V14" i="21"/>
  <c r="AJ14" i="21" s="1"/>
  <c r="M14" i="13"/>
  <c r="V14" i="13"/>
  <c r="AJ14" i="13" s="1"/>
  <c r="U14" i="17"/>
  <c r="AI13" i="17"/>
  <c r="AI13" i="16"/>
  <c r="D13" i="9"/>
  <c r="AE13" i="9" s="1"/>
  <c r="C15" i="9"/>
  <c r="A14" i="9"/>
  <c r="A14" i="7"/>
  <c r="C15" i="7"/>
  <c r="AI14" i="8"/>
  <c r="AJ14" i="6"/>
  <c r="D14" i="6"/>
  <c r="AE14" i="6" s="1"/>
  <c r="AD13" i="8"/>
  <c r="D14" i="10"/>
  <c r="AE14" i="10" s="1"/>
  <c r="AD13" i="7"/>
  <c r="D14" i="15"/>
  <c r="AE14" i="15" s="1"/>
  <c r="AI14" i="6"/>
  <c r="A14" i="20"/>
  <c r="C15" i="20"/>
  <c r="D14" i="21"/>
  <c r="AE14" i="21" s="1"/>
  <c r="AD14" i="16"/>
  <c r="AI14" i="4"/>
  <c r="AD14" i="12"/>
  <c r="AI13" i="18"/>
  <c r="A14" i="18"/>
  <c r="C15" i="18"/>
  <c r="A15" i="15"/>
  <c r="C16" i="15"/>
  <c r="A15" i="21"/>
  <c r="C16" i="21"/>
  <c r="D13" i="16"/>
  <c r="AE13" i="16" s="1"/>
  <c r="AI13" i="10"/>
  <c r="D14" i="11"/>
  <c r="AE14" i="11" s="1"/>
  <c r="AD13" i="4"/>
  <c r="AI13" i="20"/>
  <c r="D14" i="13"/>
  <c r="AE14" i="13" s="1"/>
  <c r="AI13" i="7"/>
  <c r="AD14" i="21"/>
  <c r="AD14" i="11"/>
  <c r="A15" i="4"/>
  <c r="C16" i="4"/>
  <c r="D14" i="12"/>
  <c r="AE14" i="12" s="1"/>
  <c r="AJ14" i="12"/>
  <c r="D13" i="14"/>
  <c r="AE13" i="14" s="1"/>
  <c r="AD13" i="5"/>
  <c r="AI13" i="12"/>
  <c r="C15" i="16"/>
  <c r="A14" i="16"/>
  <c r="AD13" i="17"/>
  <c r="A15" i="11"/>
  <c r="C16" i="11"/>
  <c r="A15" i="13"/>
  <c r="C16" i="13"/>
  <c r="D15" i="8"/>
  <c r="AE15" i="8" s="1"/>
  <c r="AD13" i="23"/>
  <c r="AD15" i="10"/>
  <c r="A15" i="10"/>
  <c r="C16" i="10"/>
  <c r="AD14" i="22"/>
  <c r="AD13" i="13"/>
  <c r="C16" i="17"/>
  <c r="A15" i="17"/>
  <c r="D14" i="4"/>
  <c r="AE14" i="4" s="1"/>
  <c r="C16" i="12"/>
  <c r="A15" i="12"/>
  <c r="D13" i="5"/>
  <c r="AE13" i="5" s="1"/>
  <c r="C15" i="14"/>
  <c r="A14" i="14"/>
  <c r="C16" i="23"/>
  <c r="A15" i="23"/>
  <c r="A16" i="8"/>
  <c r="C17" i="8"/>
  <c r="AD13" i="15"/>
  <c r="AD14" i="18"/>
  <c r="AD13" i="14"/>
  <c r="D13" i="20"/>
  <c r="AE13" i="20" s="1"/>
  <c r="A15" i="19"/>
  <c r="C16" i="19"/>
  <c r="A15" i="6"/>
  <c r="C16" i="6"/>
  <c r="D14" i="17"/>
  <c r="AE14" i="17" s="1"/>
  <c r="AI14" i="11"/>
  <c r="AI13" i="22"/>
  <c r="AI13" i="5"/>
  <c r="C15" i="5"/>
  <c r="A14" i="5"/>
  <c r="D14" i="23"/>
  <c r="AE14" i="23" s="1"/>
  <c r="AI14" i="21"/>
  <c r="AI14" i="15"/>
  <c r="AI14" i="19"/>
  <c r="C15" i="22"/>
  <c r="A14" i="22"/>
  <c r="AD15" i="20"/>
  <c r="AD13" i="6"/>
  <c r="D13" i="7"/>
  <c r="AE13" i="7" s="1"/>
  <c r="AD13" i="19"/>
  <c r="D13" i="18"/>
  <c r="AE13" i="18" s="1"/>
  <c r="AI13" i="23"/>
  <c r="D14" i="19"/>
  <c r="AE14" i="19" s="1"/>
  <c r="AD13" i="9"/>
  <c r="D13" i="22"/>
  <c r="AE13" i="22" s="1"/>
  <c r="AI15" i="14"/>
  <c r="AI14" i="9"/>
  <c r="L15" i="3"/>
  <c r="AD14" i="3"/>
  <c r="AI14" i="3"/>
  <c r="M14" i="18" l="1"/>
  <c r="V14" i="18"/>
  <c r="U15" i="13"/>
  <c r="AI14" i="13"/>
  <c r="M14" i="5"/>
  <c r="V14" i="5"/>
  <c r="AJ14" i="5" s="1"/>
  <c r="M15" i="6"/>
  <c r="V15" i="6"/>
  <c r="AJ15" i="6" s="1"/>
  <c r="M15" i="12"/>
  <c r="V15" i="12"/>
  <c r="M15" i="13"/>
  <c r="V15" i="13"/>
  <c r="M14" i="20"/>
  <c r="V14" i="20"/>
  <c r="AJ14" i="20" s="1"/>
  <c r="M15" i="10"/>
  <c r="V15" i="10"/>
  <c r="AJ15" i="10" s="1"/>
  <c r="M14" i="22"/>
  <c r="V14" i="22"/>
  <c r="M16" i="8"/>
  <c r="V16" i="8"/>
  <c r="M15" i="19"/>
  <c r="V15" i="19"/>
  <c r="AJ15" i="19" s="1"/>
  <c r="M15" i="23"/>
  <c r="V15" i="23"/>
  <c r="AJ15" i="23" s="1"/>
  <c r="M15" i="11"/>
  <c r="V15" i="11"/>
  <c r="M15" i="21"/>
  <c r="V15" i="21"/>
  <c r="U15" i="17"/>
  <c r="AI14" i="17"/>
  <c r="M14" i="14"/>
  <c r="V14" i="14"/>
  <c r="AJ14" i="14" s="1"/>
  <c r="M15" i="17"/>
  <c r="V15" i="17"/>
  <c r="M14" i="16"/>
  <c r="V14" i="16"/>
  <c r="M14" i="7"/>
  <c r="V14" i="7"/>
  <c r="AJ14" i="7" s="1"/>
  <c r="M15" i="4"/>
  <c r="V15" i="4"/>
  <c r="AJ15" i="4" s="1"/>
  <c r="M15" i="15"/>
  <c r="V15" i="15"/>
  <c r="M14" i="9"/>
  <c r="V14" i="9"/>
  <c r="AJ14" i="9" s="1"/>
  <c r="AI14" i="16"/>
  <c r="D14" i="9"/>
  <c r="AE14" i="9" s="1"/>
  <c r="A15" i="9"/>
  <c r="C16" i="9"/>
  <c r="AD14" i="13"/>
  <c r="AD16" i="20"/>
  <c r="AI15" i="21"/>
  <c r="AI14" i="5"/>
  <c r="D14" i="14"/>
  <c r="AE14" i="14" s="1"/>
  <c r="AD16" i="10"/>
  <c r="A15" i="16"/>
  <c r="C16" i="16"/>
  <c r="C17" i="4"/>
  <c r="A16" i="4"/>
  <c r="AI14" i="20"/>
  <c r="A16" i="15"/>
  <c r="C17" i="15"/>
  <c r="AD15" i="16"/>
  <c r="D14" i="7"/>
  <c r="AE14" i="7" s="1"/>
  <c r="C16" i="14"/>
  <c r="A15" i="14"/>
  <c r="D15" i="4"/>
  <c r="AE15" i="4" s="1"/>
  <c r="AI16" i="14"/>
  <c r="AD14" i="9"/>
  <c r="AD14" i="19"/>
  <c r="C16" i="22"/>
  <c r="A15" i="22"/>
  <c r="AI15" i="15"/>
  <c r="AD14" i="15"/>
  <c r="C17" i="11"/>
  <c r="A16" i="11"/>
  <c r="AD15" i="12"/>
  <c r="AI15" i="8"/>
  <c r="C16" i="7"/>
  <c r="A15" i="7"/>
  <c r="AI14" i="22"/>
  <c r="C17" i="6"/>
  <c r="A16" i="6"/>
  <c r="AD14" i="14"/>
  <c r="C18" i="8"/>
  <c r="A17" i="8"/>
  <c r="C17" i="10"/>
  <c r="A16" i="10"/>
  <c r="D15" i="11"/>
  <c r="AE15" i="11" s="1"/>
  <c r="AJ15" i="11"/>
  <c r="AI14" i="12"/>
  <c r="AI14" i="10"/>
  <c r="A15" i="18"/>
  <c r="C16" i="18"/>
  <c r="C16" i="20"/>
  <c r="A15" i="20"/>
  <c r="AD14" i="8"/>
  <c r="A16" i="23"/>
  <c r="C17" i="23"/>
  <c r="AJ14" i="16"/>
  <c r="D14" i="16"/>
  <c r="AE14" i="16" s="1"/>
  <c r="AJ15" i="21"/>
  <c r="D15" i="21"/>
  <c r="AE15" i="21" s="1"/>
  <c r="AJ14" i="22"/>
  <c r="D14" i="22"/>
  <c r="AE14" i="22" s="1"/>
  <c r="D15" i="15"/>
  <c r="AE15" i="15" s="1"/>
  <c r="AJ15" i="15"/>
  <c r="D15" i="6"/>
  <c r="AE15" i="6" s="1"/>
  <c r="AJ16" i="8"/>
  <c r="D16" i="8"/>
  <c r="AE16" i="8" s="1"/>
  <c r="D15" i="17"/>
  <c r="AE15" i="17" s="1"/>
  <c r="AJ15" i="17"/>
  <c r="D15" i="10"/>
  <c r="AE15" i="10" s="1"/>
  <c r="A16" i="13"/>
  <c r="C17" i="13"/>
  <c r="AD15" i="11"/>
  <c r="AD14" i="4"/>
  <c r="D14" i="18"/>
  <c r="AE14" i="18" s="1"/>
  <c r="AJ14" i="18"/>
  <c r="AI15" i="4"/>
  <c r="D14" i="20"/>
  <c r="AE14" i="20" s="1"/>
  <c r="AD15" i="22"/>
  <c r="AD14" i="6"/>
  <c r="D14" i="5"/>
  <c r="AE14" i="5" s="1"/>
  <c r="A16" i="19"/>
  <c r="C17" i="19"/>
  <c r="D15" i="12"/>
  <c r="AE15" i="12" s="1"/>
  <c r="AJ15" i="12"/>
  <c r="A16" i="17"/>
  <c r="C17" i="17"/>
  <c r="D15" i="13"/>
  <c r="AE15" i="13" s="1"/>
  <c r="AJ15" i="13"/>
  <c r="AD14" i="17"/>
  <c r="AD14" i="5"/>
  <c r="AI14" i="18"/>
  <c r="AI15" i="6"/>
  <c r="AD14" i="7"/>
  <c r="AI14" i="7"/>
  <c r="AI14" i="23"/>
  <c r="AI15" i="9"/>
  <c r="AI15" i="19"/>
  <c r="A15" i="5"/>
  <c r="C16" i="5"/>
  <c r="AI15" i="11"/>
  <c r="D15" i="19"/>
  <c r="AE15" i="19" s="1"/>
  <c r="AD15" i="18"/>
  <c r="D15" i="23"/>
  <c r="AE15" i="23" s="1"/>
  <c r="C17" i="12"/>
  <c r="A16" i="12"/>
  <c r="AD14" i="23"/>
  <c r="AD15" i="21"/>
  <c r="A16" i="21"/>
  <c r="C17" i="21"/>
  <c r="L16" i="3"/>
  <c r="AD15" i="3"/>
  <c r="AI15" i="3"/>
  <c r="M15" i="5" l="1"/>
  <c r="V15" i="5"/>
  <c r="M16" i="11"/>
  <c r="V16" i="11"/>
  <c r="AJ16" i="11" s="1"/>
  <c r="M16" i="6"/>
  <c r="V16" i="6"/>
  <c r="AJ16" i="6" s="1"/>
  <c r="M16" i="15"/>
  <c r="V16" i="15"/>
  <c r="AJ16" i="15" s="1"/>
  <c r="M16" i="19"/>
  <c r="V16" i="19"/>
  <c r="AJ16" i="19" s="1"/>
  <c r="U16" i="17"/>
  <c r="AI15" i="17"/>
  <c r="M16" i="12"/>
  <c r="V16" i="12"/>
  <c r="AJ16" i="12" s="1"/>
  <c r="M15" i="20"/>
  <c r="V15" i="20"/>
  <c r="AJ15" i="20" s="1"/>
  <c r="M15" i="14"/>
  <c r="V15" i="14"/>
  <c r="AJ15" i="14" s="1"/>
  <c r="M16" i="4"/>
  <c r="V16" i="4"/>
  <c r="AJ16" i="4" s="1"/>
  <c r="M16" i="13"/>
  <c r="V16" i="13"/>
  <c r="AJ16" i="13" s="1"/>
  <c r="M15" i="9"/>
  <c r="V15" i="9"/>
  <c r="AJ15" i="9" s="1"/>
  <c r="M16" i="23"/>
  <c r="V16" i="23"/>
  <c r="AJ16" i="23" s="1"/>
  <c r="M16" i="21"/>
  <c r="V16" i="21"/>
  <c r="M16" i="10"/>
  <c r="V16" i="10"/>
  <c r="AJ16" i="10" s="1"/>
  <c r="M15" i="7"/>
  <c r="V15" i="7"/>
  <c r="AJ15" i="7" s="1"/>
  <c r="M15" i="22"/>
  <c r="V15" i="22"/>
  <c r="AJ15" i="22" s="1"/>
  <c r="U16" i="13"/>
  <c r="AI15" i="13"/>
  <c r="M16" i="17"/>
  <c r="V16" i="17"/>
  <c r="AJ16" i="17" s="1"/>
  <c r="M15" i="18"/>
  <c r="V15" i="18"/>
  <c r="AJ15" i="18" s="1"/>
  <c r="M17" i="8"/>
  <c r="V17" i="8"/>
  <c r="AJ17" i="8" s="1"/>
  <c r="M15" i="16"/>
  <c r="V15" i="16"/>
  <c r="AJ15" i="16" s="1"/>
  <c r="AI15" i="16"/>
  <c r="A16" i="9"/>
  <c r="C17" i="9"/>
  <c r="D15" i="9"/>
  <c r="AE15" i="9" s="1"/>
  <c r="AI15" i="7"/>
  <c r="D16" i="19"/>
  <c r="AE16" i="19" s="1"/>
  <c r="D16" i="13"/>
  <c r="AE16" i="13" s="1"/>
  <c r="C17" i="20"/>
  <c r="A16" i="20"/>
  <c r="C19" i="8"/>
  <c r="A18" i="8"/>
  <c r="C17" i="7"/>
  <c r="A16" i="7"/>
  <c r="A16" i="22"/>
  <c r="C17" i="22"/>
  <c r="AD15" i="13"/>
  <c r="D15" i="20"/>
  <c r="AE15" i="20" s="1"/>
  <c r="C17" i="18"/>
  <c r="A16" i="18"/>
  <c r="AD16" i="16"/>
  <c r="AI15" i="5"/>
  <c r="AI15" i="23"/>
  <c r="AD15" i="5"/>
  <c r="A17" i="17"/>
  <c r="C18" i="17"/>
  <c r="D16" i="23"/>
  <c r="AE16" i="23" s="1"/>
  <c r="D15" i="18"/>
  <c r="AE15" i="18" s="1"/>
  <c r="AD15" i="14"/>
  <c r="C18" i="11"/>
  <c r="A17" i="11"/>
  <c r="D15" i="16"/>
  <c r="AE15" i="16" s="1"/>
  <c r="AI16" i="9"/>
  <c r="C18" i="13"/>
  <c r="A17" i="13"/>
  <c r="C18" i="21"/>
  <c r="A17" i="21"/>
  <c r="AD16" i="18"/>
  <c r="AI16" i="11"/>
  <c r="D16" i="17"/>
  <c r="AE16" i="17" s="1"/>
  <c r="AD15" i="4"/>
  <c r="AI15" i="12"/>
  <c r="D16" i="6"/>
  <c r="AE16" i="6" s="1"/>
  <c r="AI16" i="8"/>
  <c r="D15" i="14"/>
  <c r="AE15" i="14" s="1"/>
  <c r="C18" i="15"/>
  <c r="A17" i="15"/>
  <c r="AD17" i="10"/>
  <c r="A17" i="19"/>
  <c r="C18" i="19"/>
  <c r="AD16" i="22"/>
  <c r="D15" i="7"/>
  <c r="AE15" i="7" s="1"/>
  <c r="AI15" i="18"/>
  <c r="D16" i="11"/>
  <c r="AE16" i="11" s="1"/>
  <c r="AI15" i="20"/>
  <c r="AJ16" i="21"/>
  <c r="D16" i="21"/>
  <c r="AE16" i="21" s="1"/>
  <c r="D16" i="12"/>
  <c r="AE16" i="12" s="1"/>
  <c r="A16" i="5"/>
  <c r="C17" i="5"/>
  <c r="AI16" i="6"/>
  <c r="AI15" i="10"/>
  <c r="C18" i="6"/>
  <c r="A17" i="6"/>
  <c r="AI17" i="14"/>
  <c r="C17" i="14"/>
  <c r="A16" i="14"/>
  <c r="D16" i="15"/>
  <c r="AE16" i="15" s="1"/>
  <c r="D16" i="4"/>
  <c r="AE16" i="4" s="1"/>
  <c r="AI16" i="21"/>
  <c r="D17" i="8"/>
  <c r="AE17" i="8" s="1"/>
  <c r="AD15" i="23"/>
  <c r="C18" i="12"/>
  <c r="A17" i="12"/>
  <c r="AJ15" i="5"/>
  <c r="D15" i="5"/>
  <c r="AE15" i="5" s="1"/>
  <c r="AI16" i="19"/>
  <c r="AD15" i="7"/>
  <c r="AD15" i="17"/>
  <c r="AD16" i="11"/>
  <c r="AD15" i="8"/>
  <c r="D16" i="10"/>
  <c r="AE16" i="10" s="1"/>
  <c r="AI15" i="22"/>
  <c r="AD16" i="12"/>
  <c r="AD15" i="9"/>
  <c r="A17" i="4"/>
  <c r="C18" i="4"/>
  <c r="AD17" i="20"/>
  <c r="D15" i="22"/>
  <c r="AE15" i="22" s="1"/>
  <c r="C18" i="23"/>
  <c r="A17" i="23"/>
  <c r="AI16" i="15"/>
  <c r="AD15" i="19"/>
  <c r="C17" i="16"/>
  <c r="A16" i="16"/>
  <c r="AD16" i="21"/>
  <c r="AD15" i="6"/>
  <c r="AI16" i="4"/>
  <c r="C18" i="10"/>
  <c r="A17" i="10"/>
  <c r="AD15" i="15"/>
  <c r="L17" i="3"/>
  <c r="AD16" i="3"/>
  <c r="AI16" i="3"/>
  <c r="M17" i="23" l="1"/>
  <c r="V17" i="23"/>
  <c r="AJ17" i="23" s="1"/>
  <c r="M16" i="20"/>
  <c r="V16" i="20"/>
  <c r="M17" i="21"/>
  <c r="V17" i="21"/>
  <c r="AJ17" i="21" s="1"/>
  <c r="M17" i="17"/>
  <c r="V17" i="17"/>
  <c r="AJ17" i="17" s="1"/>
  <c r="M17" i="12"/>
  <c r="V17" i="12"/>
  <c r="AJ17" i="12" s="1"/>
  <c r="M17" i="19"/>
  <c r="V17" i="19"/>
  <c r="AJ17" i="19" s="1"/>
  <c r="M16" i="9"/>
  <c r="V16" i="9"/>
  <c r="AJ16" i="9" s="1"/>
  <c r="M16" i="16"/>
  <c r="V16" i="16"/>
  <c r="AJ16" i="16" s="1"/>
  <c r="M17" i="13"/>
  <c r="V17" i="13"/>
  <c r="AJ17" i="13" s="1"/>
  <c r="M16" i="22"/>
  <c r="V16" i="22"/>
  <c r="AJ16" i="22" s="1"/>
  <c r="M16" i="14"/>
  <c r="V16" i="14"/>
  <c r="AJ16" i="14" s="1"/>
  <c r="M17" i="15"/>
  <c r="V17" i="15"/>
  <c r="AJ17" i="15" s="1"/>
  <c r="M16" i="7"/>
  <c r="V16" i="7"/>
  <c r="AJ16" i="7" s="1"/>
  <c r="M17" i="10"/>
  <c r="V17" i="10"/>
  <c r="AJ17" i="10" s="1"/>
  <c r="M17" i="4"/>
  <c r="V17" i="4"/>
  <c r="AJ17" i="4" s="1"/>
  <c r="M16" i="5"/>
  <c r="V16" i="5"/>
  <c r="AJ16" i="5" s="1"/>
  <c r="M16" i="18"/>
  <c r="V16" i="18"/>
  <c r="AJ16" i="18" s="1"/>
  <c r="U17" i="13"/>
  <c r="AI16" i="13"/>
  <c r="U17" i="17"/>
  <c r="AI16" i="17"/>
  <c r="M17" i="11"/>
  <c r="V17" i="11"/>
  <c r="AJ17" i="11" s="1"/>
  <c r="M18" i="8"/>
  <c r="V18" i="8"/>
  <c r="AJ18" i="8" s="1"/>
  <c r="M17" i="6"/>
  <c r="V17" i="6"/>
  <c r="AJ17" i="6" s="1"/>
  <c r="AI16" i="16"/>
  <c r="D16" i="9"/>
  <c r="AE16" i="9" s="1"/>
  <c r="A17" i="9"/>
  <c r="C18" i="9"/>
  <c r="AD17" i="18"/>
  <c r="D17" i="17"/>
  <c r="AE17" i="17" s="1"/>
  <c r="AD16" i="15"/>
  <c r="AD17" i="11"/>
  <c r="AI17" i="19"/>
  <c r="A17" i="14"/>
  <c r="C18" i="14"/>
  <c r="AI16" i="20"/>
  <c r="D17" i="19"/>
  <c r="AE17" i="19" s="1"/>
  <c r="AD16" i="4"/>
  <c r="AI17" i="9"/>
  <c r="AD16" i="5"/>
  <c r="AI16" i="23"/>
  <c r="AD17" i="16"/>
  <c r="A17" i="22"/>
  <c r="C18" i="22"/>
  <c r="D16" i="20"/>
  <c r="AE16" i="20" s="1"/>
  <c r="AJ16" i="20"/>
  <c r="AD16" i="6"/>
  <c r="AD17" i="12"/>
  <c r="D16" i="14"/>
  <c r="AE16" i="14" s="1"/>
  <c r="A18" i="19"/>
  <c r="C19" i="19"/>
  <c r="AD16" i="23"/>
  <c r="D16" i="22"/>
  <c r="AE16" i="22" s="1"/>
  <c r="A17" i="20"/>
  <c r="C18" i="20"/>
  <c r="D17" i="10"/>
  <c r="AE17" i="10" s="1"/>
  <c r="AI17" i="15"/>
  <c r="A18" i="4"/>
  <c r="C19" i="4"/>
  <c r="AI16" i="22"/>
  <c r="AI18" i="14"/>
  <c r="AI17" i="6"/>
  <c r="A18" i="21"/>
  <c r="C19" i="21"/>
  <c r="A17" i="18"/>
  <c r="C18" i="18"/>
  <c r="D16" i="7"/>
  <c r="AE16" i="7" s="1"/>
  <c r="AI17" i="21"/>
  <c r="D16" i="18"/>
  <c r="AE16" i="18" s="1"/>
  <c r="A18" i="10"/>
  <c r="C19" i="10"/>
  <c r="AD17" i="21"/>
  <c r="D17" i="23"/>
  <c r="AE17" i="23" s="1"/>
  <c r="D17" i="4"/>
  <c r="AE17" i="4" s="1"/>
  <c r="AD16" i="17"/>
  <c r="D17" i="6"/>
  <c r="AE17" i="6" s="1"/>
  <c r="D17" i="15"/>
  <c r="AE17" i="15" s="1"/>
  <c r="D17" i="13"/>
  <c r="AE17" i="13" s="1"/>
  <c r="C18" i="7"/>
  <c r="A17" i="7"/>
  <c r="AI16" i="7"/>
  <c r="AD18" i="20"/>
  <c r="AI17" i="8"/>
  <c r="A18" i="6"/>
  <c r="C19" i="6"/>
  <c r="A18" i="15"/>
  <c r="C19" i="15"/>
  <c r="C19" i="13"/>
  <c r="A18" i="13"/>
  <c r="D17" i="11"/>
  <c r="AE17" i="11" s="1"/>
  <c r="D18" i="8"/>
  <c r="AE18" i="8" s="1"/>
  <c r="AD16" i="19"/>
  <c r="D16" i="5"/>
  <c r="AE16" i="5" s="1"/>
  <c r="AI16" i="10"/>
  <c r="AD18" i="10"/>
  <c r="C19" i="23"/>
  <c r="A18" i="23"/>
  <c r="AI17" i="4"/>
  <c r="AD16" i="9"/>
  <c r="AD16" i="7"/>
  <c r="D17" i="12"/>
  <c r="AE17" i="12" s="1"/>
  <c r="AI17" i="11"/>
  <c r="A18" i="11"/>
  <c r="C19" i="11"/>
  <c r="AI16" i="5"/>
  <c r="A19" i="8"/>
  <c r="C20" i="8"/>
  <c r="AI16" i="18"/>
  <c r="D17" i="21"/>
  <c r="AE17" i="21" s="1"/>
  <c r="D16" i="16"/>
  <c r="AE16" i="16" s="1"/>
  <c r="A17" i="16"/>
  <c r="C18" i="16"/>
  <c r="AD16" i="8"/>
  <c r="A18" i="12"/>
  <c r="C19" i="12"/>
  <c r="C18" i="5"/>
  <c r="A17" i="5"/>
  <c r="AD17" i="22"/>
  <c r="AI16" i="12"/>
  <c r="AD16" i="14"/>
  <c r="C19" i="17"/>
  <c r="A18" i="17"/>
  <c r="AD16" i="13"/>
  <c r="L18" i="3"/>
  <c r="AD17" i="3"/>
  <c r="AI17" i="3"/>
  <c r="M18" i="15" l="1"/>
  <c r="V18" i="15"/>
  <c r="AJ18" i="15" s="1"/>
  <c r="M17" i="9"/>
  <c r="V17" i="9"/>
  <c r="AJ17" i="9" s="1"/>
  <c r="M17" i="20"/>
  <c r="V17" i="20"/>
  <c r="AJ17" i="20" s="1"/>
  <c r="M18" i="6"/>
  <c r="V18" i="6"/>
  <c r="AJ18" i="6" s="1"/>
  <c r="M17" i="16"/>
  <c r="V17" i="16"/>
  <c r="AJ17" i="16" s="1"/>
  <c r="M17" i="5"/>
  <c r="V17" i="5"/>
  <c r="AJ17" i="5" s="1"/>
  <c r="M18" i="11"/>
  <c r="V18" i="11"/>
  <c r="AJ18" i="11" s="1"/>
  <c r="M18" i="4"/>
  <c r="V18" i="4"/>
  <c r="AJ18" i="4" s="1"/>
  <c r="U18" i="17"/>
  <c r="AI17" i="17"/>
  <c r="M18" i="23"/>
  <c r="V18" i="23"/>
  <c r="M17" i="18"/>
  <c r="V17" i="18"/>
  <c r="AJ17" i="18" s="1"/>
  <c r="M19" i="8"/>
  <c r="V19" i="8"/>
  <c r="AJ19" i="8" s="1"/>
  <c r="M17" i="14"/>
  <c r="V17" i="14"/>
  <c r="AJ17" i="14" s="1"/>
  <c r="M18" i="17"/>
  <c r="V18" i="17"/>
  <c r="AJ18" i="17" s="1"/>
  <c r="M18" i="13"/>
  <c r="V18" i="13"/>
  <c r="AJ18" i="13" s="1"/>
  <c r="M18" i="10"/>
  <c r="V18" i="10"/>
  <c r="AJ18" i="10" s="1"/>
  <c r="U18" i="13"/>
  <c r="AI17" i="13"/>
  <c r="M17" i="7"/>
  <c r="V17" i="7"/>
  <c r="AJ17" i="7" s="1"/>
  <c r="M18" i="21"/>
  <c r="V18" i="21"/>
  <c r="AJ18" i="21" s="1"/>
  <c r="M18" i="19"/>
  <c r="V18" i="19"/>
  <c r="AJ18" i="19" s="1"/>
  <c r="M17" i="22"/>
  <c r="V17" i="22"/>
  <c r="AJ17" i="22" s="1"/>
  <c r="M18" i="12"/>
  <c r="V18" i="12"/>
  <c r="AJ18" i="12" s="1"/>
  <c r="AI17" i="16"/>
  <c r="C19" i="9"/>
  <c r="A18" i="9"/>
  <c r="D17" i="9"/>
  <c r="AE17" i="9" s="1"/>
  <c r="D17" i="20"/>
  <c r="AE17" i="20" s="1"/>
  <c r="C21" i="8"/>
  <c r="A20" i="8"/>
  <c r="D18" i="19"/>
  <c r="AE18" i="19" s="1"/>
  <c r="AI17" i="20"/>
  <c r="D18" i="17"/>
  <c r="AE18" i="17" s="1"/>
  <c r="C20" i="12"/>
  <c r="A19" i="12"/>
  <c r="D19" i="8"/>
  <c r="AE19" i="8" s="1"/>
  <c r="AI18" i="4"/>
  <c r="AI18" i="8"/>
  <c r="AI17" i="23"/>
  <c r="C19" i="14"/>
  <c r="A18" i="14"/>
  <c r="AD17" i="15"/>
  <c r="A19" i="6"/>
  <c r="C20" i="6"/>
  <c r="AD17" i="13"/>
  <c r="D18" i="10"/>
  <c r="AE18" i="10" s="1"/>
  <c r="AI18" i="6"/>
  <c r="C20" i="17"/>
  <c r="A19" i="17"/>
  <c r="AI17" i="12"/>
  <c r="D18" i="12"/>
  <c r="AE18" i="12" s="1"/>
  <c r="AI17" i="5"/>
  <c r="D18" i="23"/>
  <c r="AE18" i="23" s="1"/>
  <c r="AJ18" i="23"/>
  <c r="AI19" i="14"/>
  <c r="D17" i="14"/>
  <c r="AE17" i="14" s="1"/>
  <c r="AI18" i="11"/>
  <c r="D18" i="6"/>
  <c r="AE18" i="6" s="1"/>
  <c r="A18" i="7"/>
  <c r="C19" i="7"/>
  <c r="AI18" i="15"/>
  <c r="AD17" i="14"/>
  <c r="AD18" i="22"/>
  <c r="A19" i="23"/>
  <c r="C20" i="23"/>
  <c r="D18" i="13"/>
  <c r="AE18" i="13" s="1"/>
  <c r="AD19" i="20"/>
  <c r="A18" i="18"/>
  <c r="C19" i="18"/>
  <c r="C19" i="22"/>
  <c r="A18" i="22"/>
  <c r="AD17" i="5"/>
  <c r="D17" i="7"/>
  <c r="AE17" i="7" s="1"/>
  <c r="C20" i="10"/>
  <c r="A19" i="10"/>
  <c r="AD17" i="6"/>
  <c r="AD17" i="7"/>
  <c r="AI18" i="19"/>
  <c r="AI17" i="18"/>
  <c r="AI18" i="21"/>
  <c r="A19" i="19"/>
  <c r="C20" i="19"/>
  <c r="AD17" i="8"/>
  <c r="D17" i="22"/>
  <c r="AE17" i="22" s="1"/>
  <c r="D17" i="5"/>
  <c r="AE17" i="5" s="1"/>
  <c r="C19" i="16"/>
  <c r="A18" i="16"/>
  <c r="D18" i="11"/>
  <c r="AE18" i="11" s="1"/>
  <c r="AD19" i="10"/>
  <c r="A19" i="15"/>
  <c r="C20" i="15"/>
  <c r="AI17" i="7"/>
  <c r="AD17" i="17"/>
  <c r="AD18" i="21"/>
  <c r="C20" i="21"/>
  <c r="A19" i="21"/>
  <c r="C20" i="4"/>
  <c r="A19" i="4"/>
  <c r="AD18" i="12"/>
  <c r="AD18" i="11"/>
  <c r="AD18" i="18"/>
  <c r="AD17" i="9"/>
  <c r="C20" i="11"/>
  <c r="A19" i="11"/>
  <c r="AD17" i="19"/>
  <c r="A19" i="13"/>
  <c r="C20" i="13"/>
  <c r="D17" i="18"/>
  <c r="AE17" i="18" s="1"/>
  <c r="AI17" i="22"/>
  <c r="AI18" i="9"/>
  <c r="A18" i="5"/>
  <c r="C19" i="5"/>
  <c r="D17" i="16"/>
  <c r="AE17" i="16" s="1"/>
  <c r="AI17" i="10"/>
  <c r="D18" i="15"/>
  <c r="AE18" i="15" s="1"/>
  <c r="D18" i="21"/>
  <c r="AE18" i="21" s="1"/>
  <c r="D18" i="4"/>
  <c r="AE18" i="4" s="1"/>
  <c r="C19" i="20"/>
  <c r="A18" i="20"/>
  <c r="AD17" i="23"/>
  <c r="AD18" i="16"/>
  <c r="AD17" i="4"/>
  <c r="L19" i="3"/>
  <c r="AD18" i="3"/>
  <c r="AI18" i="3"/>
  <c r="M19" i="17" l="1"/>
  <c r="V19" i="17"/>
  <c r="AJ19" i="17" s="1"/>
  <c r="M20" i="8"/>
  <c r="V20" i="8"/>
  <c r="AJ20" i="8" s="1"/>
  <c r="M18" i="22"/>
  <c r="V18" i="22"/>
  <c r="AJ18" i="22" s="1"/>
  <c r="M18" i="5"/>
  <c r="V18" i="5"/>
  <c r="AJ18" i="5" s="1"/>
  <c r="M19" i="21"/>
  <c r="V19" i="21"/>
  <c r="AJ19" i="21" s="1"/>
  <c r="M18" i="18"/>
  <c r="V18" i="18"/>
  <c r="M18" i="14"/>
  <c r="V18" i="14"/>
  <c r="AJ18" i="14" s="1"/>
  <c r="M19" i="12"/>
  <c r="V19" i="12"/>
  <c r="AJ19" i="12" s="1"/>
  <c r="M19" i="4"/>
  <c r="V19" i="4"/>
  <c r="AJ19" i="4" s="1"/>
  <c r="M18" i="9"/>
  <c r="V18" i="9"/>
  <c r="M19" i="11"/>
  <c r="V19" i="11"/>
  <c r="AJ19" i="11" s="1"/>
  <c r="M19" i="10"/>
  <c r="V19" i="10"/>
  <c r="AJ19" i="10" s="1"/>
  <c r="M19" i="13"/>
  <c r="V19" i="13"/>
  <c r="AJ19" i="13" s="1"/>
  <c r="M19" i="19"/>
  <c r="V19" i="19"/>
  <c r="M18" i="7"/>
  <c r="V18" i="7"/>
  <c r="AJ18" i="7" s="1"/>
  <c r="M19" i="6"/>
  <c r="V19" i="6"/>
  <c r="AJ19" i="6" s="1"/>
  <c r="M18" i="16"/>
  <c r="V18" i="16"/>
  <c r="AJ18" i="16" s="1"/>
  <c r="M19" i="23"/>
  <c r="V19" i="23"/>
  <c r="AJ19" i="23" s="1"/>
  <c r="M19" i="15"/>
  <c r="V19" i="15"/>
  <c r="AJ19" i="15" s="1"/>
  <c r="M18" i="20"/>
  <c r="V18" i="20"/>
  <c r="AJ18" i="20" s="1"/>
  <c r="U19" i="13"/>
  <c r="AI18" i="13"/>
  <c r="U19" i="17"/>
  <c r="AI18" i="17"/>
  <c r="AI18" i="16"/>
  <c r="AJ18" i="9"/>
  <c r="D18" i="9"/>
  <c r="AE18" i="9" s="1"/>
  <c r="C20" i="9"/>
  <c r="A19" i="9"/>
  <c r="D19" i="23"/>
  <c r="AE19" i="23" s="1"/>
  <c r="AD18" i="15"/>
  <c r="A20" i="19"/>
  <c r="C21" i="19"/>
  <c r="D18" i="20"/>
  <c r="AE18" i="20" s="1"/>
  <c r="A19" i="5"/>
  <c r="C20" i="5"/>
  <c r="AD18" i="9"/>
  <c r="A20" i="4"/>
  <c r="C21" i="4"/>
  <c r="AJ19" i="19"/>
  <c r="D19" i="19"/>
  <c r="AE19" i="19" s="1"/>
  <c r="AD18" i="5"/>
  <c r="AD20" i="20"/>
  <c r="AI20" i="14"/>
  <c r="D18" i="14"/>
  <c r="AE18" i="14" s="1"/>
  <c r="AI19" i="4"/>
  <c r="A21" i="8"/>
  <c r="C22" i="8"/>
  <c r="C21" i="11"/>
  <c r="A20" i="11"/>
  <c r="D19" i="4"/>
  <c r="AE19" i="4" s="1"/>
  <c r="AD18" i="7"/>
  <c r="AD19" i="22"/>
  <c r="D20" i="8"/>
  <c r="AE20" i="8" s="1"/>
  <c r="D18" i="5"/>
  <c r="AE18" i="5" s="1"/>
  <c r="C21" i="13"/>
  <c r="A20" i="13"/>
  <c r="AD19" i="18"/>
  <c r="D19" i="21"/>
  <c r="AE19" i="21" s="1"/>
  <c r="AI18" i="7"/>
  <c r="A19" i="14"/>
  <c r="C20" i="14"/>
  <c r="A19" i="20"/>
  <c r="C20" i="20"/>
  <c r="AI19" i="9"/>
  <c r="D19" i="13"/>
  <c r="AE19" i="13" s="1"/>
  <c r="A20" i="21"/>
  <c r="C21" i="21"/>
  <c r="D18" i="16"/>
  <c r="AE18" i="16" s="1"/>
  <c r="AI19" i="21"/>
  <c r="AD18" i="6"/>
  <c r="D18" i="22"/>
  <c r="AE18" i="22" s="1"/>
  <c r="AD18" i="14"/>
  <c r="AI18" i="12"/>
  <c r="AD18" i="13"/>
  <c r="AI18" i="23"/>
  <c r="AI19" i="19"/>
  <c r="C21" i="12"/>
  <c r="A20" i="12"/>
  <c r="AD18" i="17"/>
  <c r="AI19" i="8"/>
  <c r="AD18" i="4"/>
  <c r="AD18" i="19"/>
  <c r="C21" i="15"/>
  <c r="A20" i="15"/>
  <c r="A19" i="16"/>
  <c r="C20" i="16"/>
  <c r="D19" i="10"/>
  <c r="AE19" i="10" s="1"/>
  <c r="A19" i="22"/>
  <c r="C20" i="22"/>
  <c r="AI19" i="11"/>
  <c r="D19" i="17"/>
  <c r="AE19" i="17" s="1"/>
  <c r="AI18" i="20"/>
  <c r="AD18" i="23"/>
  <c r="AD19" i="12"/>
  <c r="AD19" i="16"/>
  <c r="AI18" i="10"/>
  <c r="AI18" i="22"/>
  <c r="AD19" i="11"/>
  <c r="D19" i="15"/>
  <c r="AE19" i="15" s="1"/>
  <c r="AI18" i="18"/>
  <c r="A20" i="10"/>
  <c r="C21" i="10"/>
  <c r="C20" i="18"/>
  <c r="A19" i="18"/>
  <c r="AI19" i="15"/>
  <c r="C21" i="17"/>
  <c r="A20" i="17"/>
  <c r="A20" i="6"/>
  <c r="C21" i="6"/>
  <c r="AD19" i="21"/>
  <c r="D18" i="7"/>
  <c r="AE18" i="7" s="1"/>
  <c r="AI19" i="6"/>
  <c r="D19" i="11"/>
  <c r="AE19" i="11" s="1"/>
  <c r="AD20" i="10"/>
  <c r="AD18" i="8"/>
  <c r="AJ18" i="18"/>
  <c r="D18" i="18"/>
  <c r="AE18" i="18" s="1"/>
  <c r="C21" i="23"/>
  <c r="A20" i="23"/>
  <c r="A19" i="7"/>
  <c r="C20" i="7"/>
  <c r="AI18" i="5"/>
  <c r="D19" i="6"/>
  <c r="AE19" i="6" s="1"/>
  <c r="D19" i="12"/>
  <c r="AE19" i="12" s="1"/>
  <c r="L20" i="3"/>
  <c r="AD19" i="3"/>
  <c r="AI19" i="3"/>
  <c r="M20" i="17" l="1"/>
  <c r="V20" i="17"/>
  <c r="AJ20" i="17" s="1"/>
  <c r="M20" i="12"/>
  <c r="V20" i="12"/>
  <c r="M21" i="8"/>
  <c r="V21" i="8"/>
  <c r="AJ21" i="8" s="1"/>
  <c r="M19" i="7"/>
  <c r="V19" i="7"/>
  <c r="AJ19" i="7" s="1"/>
  <c r="M20" i="23"/>
  <c r="V20" i="23"/>
  <c r="AJ20" i="23" s="1"/>
  <c r="M19" i="16"/>
  <c r="V19" i="16"/>
  <c r="M20" i="19"/>
  <c r="V20" i="19"/>
  <c r="AJ20" i="19" s="1"/>
  <c r="M20" i="15"/>
  <c r="V20" i="15"/>
  <c r="AJ20" i="15" s="1"/>
  <c r="M20" i="4"/>
  <c r="V20" i="4"/>
  <c r="M20" i="10"/>
  <c r="V20" i="10"/>
  <c r="M19" i="20"/>
  <c r="V19" i="20"/>
  <c r="AJ19" i="20" s="1"/>
  <c r="M20" i="13"/>
  <c r="V20" i="13"/>
  <c r="AJ20" i="13" s="1"/>
  <c r="U20" i="17"/>
  <c r="AI19" i="17"/>
  <c r="M20" i="21"/>
  <c r="V20" i="21"/>
  <c r="AJ20" i="21" s="1"/>
  <c r="M20" i="6"/>
  <c r="V20" i="6"/>
  <c r="AJ20" i="6" s="1"/>
  <c r="M19" i="18"/>
  <c r="V19" i="18"/>
  <c r="AJ19" i="18" s="1"/>
  <c r="M19" i="14"/>
  <c r="V19" i="14"/>
  <c r="AJ19" i="14" s="1"/>
  <c r="M19" i="22"/>
  <c r="V19" i="22"/>
  <c r="M20" i="11"/>
  <c r="V20" i="11"/>
  <c r="AJ20" i="11" s="1"/>
  <c r="M19" i="5"/>
  <c r="V19" i="5"/>
  <c r="AJ19" i="5" s="1"/>
  <c r="M19" i="9"/>
  <c r="V19" i="9"/>
  <c r="AJ19" i="9" s="1"/>
  <c r="U20" i="13"/>
  <c r="AI19" i="13"/>
  <c r="AI19" i="16"/>
  <c r="D19" i="9"/>
  <c r="AE19" i="9" s="1"/>
  <c r="A20" i="9"/>
  <c r="C21" i="9"/>
  <c r="AI20" i="8"/>
  <c r="C22" i="4"/>
  <c r="A21" i="4"/>
  <c r="D19" i="18"/>
  <c r="AE19" i="18" s="1"/>
  <c r="A21" i="21"/>
  <c r="C22" i="21"/>
  <c r="A20" i="18"/>
  <c r="C21" i="18"/>
  <c r="AI19" i="10"/>
  <c r="AI19" i="20"/>
  <c r="AD19" i="17"/>
  <c r="AD19" i="13"/>
  <c r="D20" i="21"/>
  <c r="AE20" i="21" s="1"/>
  <c r="AD19" i="7"/>
  <c r="AD19" i="9"/>
  <c r="D20" i="19"/>
  <c r="AE20" i="19" s="1"/>
  <c r="AI19" i="7"/>
  <c r="AD20" i="16"/>
  <c r="AD19" i="19"/>
  <c r="D20" i="12"/>
  <c r="AE20" i="12" s="1"/>
  <c r="AJ20" i="12"/>
  <c r="AI19" i="12"/>
  <c r="AD19" i="6"/>
  <c r="AI20" i="4"/>
  <c r="AD19" i="5"/>
  <c r="AD19" i="15"/>
  <c r="C22" i="13"/>
  <c r="A21" i="13"/>
  <c r="AI21" i="14"/>
  <c r="AD21" i="20"/>
  <c r="C21" i="7"/>
  <c r="A20" i="7"/>
  <c r="D20" i="6"/>
  <c r="AE20" i="6" s="1"/>
  <c r="D20" i="10"/>
  <c r="AE20" i="10" s="1"/>
  <c r="AJ20" i="10"/>
  <c r="A21" i="12"/>
  <c r="C22" i="12"/>
  <c r="A20" i="5"/>
  <c r="C21" i="5"/>
  <c r="A21" i="15"/>
  <c r="C22" i="15"/>
  <c r="A20" i="20"/>
  <c r="C21" i="20"/>
  <c r="A22" i="8"/>
  <c r="C23" i="8"/>
  <c r="D21" i="8"/>
  <c r="AE21" i="8" s="1"/>
  <c r="D20" i="17"/>
  <c r="AE20" i="17" s="1"/>
  <c r="AD20" i="12"/>
  <c r="A20" i="16"/>
  <c r="C21" i="16"/>
  <c r="AD19" i="4"/>
  <c r="AD19" i="14"/>
  <c r="AI20" i="21"/>
  <c r="AD20" i="18"/>
  <c r="D19" i="5"/>
  <c r="AE19" i="5" s="1"/>
  <c r="AI20" i="15"/>
  <c r="C21" i="22"/>
  <c r="A20" i="22"/>
  <c r="AD20" i="22"/>
  <c r="D19" i="20"/>
  <c r="AE19" i="20" s="1"/>
  <c r="A21" i="19"/>
  <c r="C22" i="19"/>
  <c r="AI19" i="5"/>
  <c r="AI20" i="6"/>
  <c r="D19" i="7"/>
  <c r="AE19" i="7" s="1"/>
  <c r="AD21" i="10"/>
  <c r="D20" i="23"/>
  <c r="AE20" i="23" s="1"/>
  <c r="C22" i="17"/>
  <c r="A21" i="17"/>
  <c r="AI19" i="18"/>
  <c r="AD20" i="11"/>
  <c r="AI20" i="11"/>
  <c r="D19" i="16"/>
  <c r="AE19" i="16" s="1"/>
  <c r="AJ19" i="16"/>
  <c r="AI20" i="19"/>
  <c r="A20" i="14"/>
  <c r="C21" i="14"/>
  <c r="D20" i="11"/>
  <c r="AE20" i="11" s="1"/>
  <c r="AI19" i="22"/>
  <c r="AJ19" i="22"/>
  <c r="D19" i="22"/>
  <c r="AE19" i="22" s="1"/>
  <c r="AJ20" i="4"/>
  <c r="D20" i="4"/>
  <c r="AE20" i="4" s="1"/>
  <c r="AD19" i="8"/>
  <c r="A21" i="6"/>
  <c r="C22" i="6"/>
  <c r="A21" i="10"/>
  <c r="C22" i="10"/>
  <c r="A21" i="23"/>
  <c r="C22" i="23"/>
  <c r="AD20" i="21"/>
  <c r="AD19" i="23"/>
  <c r="D20" i="15"/>
  <c r="AE20" i="15" s="1"/>
  <c r="AI19" i="23"/>
  <c r="AI20" i="9"/>
  <c r="D19" i="14"/>
  <c r="AE19" i="14" s="1"/>
  <c r="D20" i="13"/>
  <c r="AE20" i="13" s="1"/>
  <c r="A21" i="11"/>
  <c r="C22" i="11"/>
  <c r="L21" i="3"/>
  <c r="AD20" i="3"/>
  <c r="AI20" i="3"/>
  <c r="M20" i="9" l="1"/>
  <c r="V20" i="9"/>
  <c r="AJ20" i="9" s="1"/>
  <c r="M21" i="15"/>
  <c r="V21" i="15"/>
  <c r="M21" i="10"/>
  <c r="V21" i="10"/>
  <c r="AJ21" i="10" s="1"/>
  <c r="M20" i="5"/>
  <c r="V20" i="5"/>
  <c r="AJ20" i="5" s="1"/>
  <c r="M20" i="7"/>
  <c r="V20" i="7"/>
  <c r="AJ20" i="7" s="1"/>
  <c r="M20" i="22"/>
  <c r="V20" i="22"/>
  <c r="AJ20" i="22" s="1"/>
  <c r="M21" i="4"/>
  <c r="V21" i="4"/>
  <c r="AJ21" i="4" s="1"/>
  <c r="M21" i="13"/>
  <c r="V21" i="13"/>
  <c r="AJ21" i="13" s="1"/>
  <c r="M21" i="11"/>
  <c r="V21" i="11"/>
  <c r="AJ21" i="11" s="1"/>
  <c r="M21" i="6"/>
  <c r="V21" i="6"/>
  <c r="AJ21" i="6" s="1"/>
  <c r="M22" i="8"/>
  <c r="V22" i="8"/>
  <c r="AJ22" i="8" s="1"/>
  <c r="U21" i="13"/>
  <c r="AI20" i="13"/>
  <c r="M21" i="19"/>
  <c r="V21" i="19"/>
  <c r="AJ21" i="19" s="1"/>
  <c r="M21" i="23"/>
  <c r="V21" i="23"/>
  <c r="AJ21" i="23" s="1"/>
  <c r="M21" i="21"/>
  <c r="V21" i="21"/>
  <c r="AJ21" i="21" s="1"/>
  <c r="M21" i="17"/>
  <c r="V21" i="17"/>
  <c r="AJ21" i="17" s="1"/>
  <c r="M20" i="16"/>
  <c r="V20" i="16"/>
  <c r="AJ20" i="16" s="1"/>
  <c r="M21" i="12"/>
  <c r="V21" i="12"/>
  <c r="AJ21" i="12" s="1"/>
  <c r="M20" i="14"/>
  <c r="V20" i="14"/>
  <c r="AJ20" i="14" s="1"/>
  <c r="M20" i="20"/>
  <c r="V20" i="20"/>
  <c r="AJ20" i="20" s="1"/>
  <c r="M20" i="18"/>
  <c r="V20" i="18"/>
  <c r="AJ20" i="18" s="1"/>
  <c r="U21" i="17"/>
  <c r="AI20" i="17"/>
  <c r="AI20" i="16"/>
  <c r="A21" i="9"/>
  <c r="C22" i="9"/>
  <c r="D20" i="9"/>
  <c r="AE20" i="9" s="1"/>
  <c r="A22" i="17"/>
  <c r="C23" i="17"/>
  <c r="D21" i="10"/>
  <c r="AE21" i="10" s="1"/>
  <c r="C22" i="14"/>
  <c r="A21" i="14"/>
  <c r="AI21" i="6"/>
  <c r="D21" i="15"/>
  <c r="AE21" i="15" s="1"/>
  <c r="AJ21" i="15"/>
  <c r="AD20" i="15"/>
  <c r="AI20" i="7"/>
  <c r="AD20" i="7"/>
  <c r="AI20" i="10"/>
  <c r="D20" i="20"/>
  <c r="AE20" i="20" s="1"/>
  <c r="A22" i="13"/>
  <c r="C23" i="13"/>
  <c r="AI20" i="20"/>
  <c r="C23" i="10"/>
  <c r="A22" i="10"/>
  <c r="AI21" i="11"/>
  <c r="AD20" i="4"/>
  <c r="C23" i="15"/>
  <c r="A22" i="15"/>
  <c r="AD22" i="20"/>
  <c r="AI20" i="12"/>
  <c r="AD20" i="13"/>
  <c r="A22" i="6"/>
  <c r="C23" i="6"/>
  <c r="D20" i="14"/>
  <c r="AE20" i="14" s="1"/>
  <c r="AD21" i="11"/>
  <c r="AD21" i="22"/>
  <c r="A21" i="16"/>
  <c r="C22" i="16"/>
  <c r="A21" i="5"/>
  <c r="C22" i="5"/>
  <c r="AD20" i="5"/>
  <c r="AD20" i="17"/>
  <c r="C22" i="18"/>
  <c r="A21" i="18"/>
  <c r="A21" i="7"/>
  <c r="C22" i="7"/>
  <c r="D20" i="5"/>
  <c r="AE20" i="5" s="1"/>
  <c r="D20" i="18"/>
  <c r="AE20" i="18" s="1"/>
  <c r="D21" i="4"/>
  <c r="AE21" i="4" s="1"/>
  <c r="D21" i="11"/>
  <c r="AE21" i="11" s="1"/>
  <c r="AI21" i="9"/>
  <c r="AD21" i="21"/>
  <c r="AI21" i="19"/>
  <c r="C23" i="19"/>
  <c r="A22" i="19"/>
  <c r="C22" i="22"/>
  <c r="A21" i="22"/>
  <c r="AD21" i="12"/>
  <c r="C24" i="8"/>
  <c r="A23" i="8"/>
  <c r="C23" i="21"/>
  <c r="A22" i="21"/>
  <c r="A22" i="4"/>
  <c r="C23" i="4"/>
  <c r="C23" i="11"/>
  <c r="A22" i="11"/>
  <c r="AD20" i="23"/>
  <c r="D21" i="6"/>
  <c r="AE21" i="6" s="1"/>
  <c r="D20" i="22"/>
  <c r="AE20" i="22" s="1"/>
  <c r="AD21" i="18"/>
  <c r="D21" i="19"/>
  <c r="AE21" i="19" s="1"/>
  <c r="D22" i="8"/>
  <c r="AE22" i="8" s="1"/>
  <c r="AI22" i="14"/>
  <c r="AI21" i="4"/>
  <c r="AD20" i="19"/>
  <c r="D21" i="21"/>
  <c r="AE21" i="21" s="1"/>
  <c r="D21" i="23"/>
  <c r="AE21" i="23" s="1"/>
  <c r="D21" i="12"/>
  <c r="AE21" i="12" s="1"/>
  <c r="AD21" i="16"/>
  <c r="AD22" i="10"/>
  <c r="AI20" i="5"/>
  <c r="D20" i="16"/>
  <c r="AE20" i="16" s="1"/>
  <c r="AD20" i="8"/>
  <c r="AI20" i="22"/>
  <c r="AI20" i="18"/>
  <c r="AI21" i="15"/>
  <c r="AI21" i="21"/>
  <c r="AI20" i="23"/>
  <c r="A22" i="23"/>
  <c r="C23" i="23"/>
  <c r="D21" i="17"/>
  <c r="AE21" i="17" s="1"/>
  <c r="AD20" i="14"/>
  <c r="C22" i="20"/>
  <c r="A21" i="20"/>
  <c r="A22" i="12"/>
  <c r="C23" i="12"/>
  <c r="D20" i="7"/>
  <c r="AE20" i="7" s="1"/>
  <c r="D21" i="13"/>
  <c r="AE21" i="13" s="1"/>
  <c r="AD20" i="6"/>
  <c r="AD20" i="9"/>
  <c r="AI21" i="8"/>
  <c r="L22" i="3"/>
  <c r="AD21" i="3"/>
  <c r="AI21" i="3"/>
  <c r="M23" i="8" l="1"/>
  <c r="V23" i="8"/>
  <c r="AJ23" i="8" s="1"/>
  <c r="M21" i="9"/>
  <c r="V21" i="9"/>
  <c r="AJ21" i="9" s="1"/>
  <c r="M21" i="14"/>
  <c r="V21" i="14"/>
  <c r="AJ21" i="14" s="1"/>
  <c r="U22" i="13"/>
  <c r="AI21" i="13"/>
  <c r="M21" i="5"/>
  <c r="V21" i="5"/>
  <c r="AJ21" i="5" s="1"/>
  <c r="M22" i="6"/>
  <c r="V22" i="6"/>
  <c r="M22" i="10"/>
  <c r="V22" i="10"/>
  <c r="AJ22" i="10" s="1"/>
  <c r="M22" i="12"/>
  <c r="V22" i="12"/>
  <c r="AJ22" i="12" s="1"/>
  <c r="M22" i="11"/>
  <c r="V22" i="11"/>
  <c r="AJ22" i="11" s="1"/>
  <c r="M22" i="23"/>
  <c r="V22" i="23"/>
  <c r="AJ22" i="23" s="1"/>
  <c r="M21" i="20"/>
  <c r="V21" i="20"/>
  <c r="AJ21" i="20" s="1"/>
  <c r="M21" i="22"/>
  <c r="V21" i="22"/>
  <c r="AJ21" i="22" s="1"/>
  <c r="M21" i="7"/>
  <c r="V21" i="7"/>
  <c r="AJ21" i="7" s="1"/>
  <c r="M21" i="16"/>
  <c r="V21" i="16"/>
  <c r="U22" i="17"/>
  <c r="AI21" i="17"/>
  <c r="M22" i="21"/>
  <c r="V22" i="21"/>
  <c r="AJ22" i="21" s="1"/>
  <c r="M21" i="18"/>
  <c r="V21" i="18"/>
  <c r="AJ21" i="18" s="1"/>
  <c r="M22" i="17"/>
  <c r="V22" i="17"/>
  <c r="AJ22" i="17" s="1"/>
  <c r="M22" i="4"/>
  <c r="V22" i="4"/>
  <c r="AJ22" i="4" s="1"/>
  <c r="M22" i="19"/>
  <c r="V22" i="19"/>
  <c r="AJ22" i="19" s="1"/>
  <c r="M22" i="15"/>
  <c r="V22" i="15"/>
  <c r="AJ22" i="15" s="1"/>
  <c r="M22" i="13"/>
  <c r="V22" i="13"/>
  <c r="AJ22" i="13" s="1"/>
  <c r="AI21" i="16"/>
  <c r="A22" i="9"/>
  <c r="C23" i="9"/>
  <c r="D21" i="9"/>
  <c r="AE21" i="9" s="1"/>
  <c r="AD21" i="4"/>
  <c r="AI22" i="6"/>
  <c r="AD21" i="9"/>
  <c r="AD22" i="12"/>
  <c r="AD22" i="21"/>
  <c r="D21" i="14"/>
  <c r="AE21" i="14" s="1"/>
  <c r="D21" i="22"/>
  <c r="AE21" i="22" s="1"/>
  <c r="AI22" i="9"/>
  <c r="C23" i="7"/>
  <c r="A22" i="7"/>
  <c r="AD22" i="18"/>
  <c r="D22" i="4"/>
  <c r="AE22" i="4" s="1"/>
  <c r="A22" i="22"/>
  <c r="C23" i="22"/>
  <c r="D21" i="7"/>
  <c r="AE21" i="7" s="1"/>
  <c r="D21" i="5"/>
  <c r="AE21" i="5" s="1"/>
  <c r="D22" i="10"/>
  <c r="AE22" i="10" s="1"/>
  <c r="AD21" i="5"/>
  <c r="AI21" i="7"/>
  <c r="AD21" i="6"/>
  <c r="A23" i="12"/>
  <c r="C24" i="12"/>
  <c r="AI22" i="15"/>
  <c r="C23" i="5"/>
  <c r="A22" i="5"/>
  <c r="AI21" i="12"/>
  <c r="AD21" i="15"/>
  <c r="D22" i="23"/>
  <c r="AE22" i="23" s="1"/>
  <c r="AI21" i="18"/>
  <c r="AD21" i="19"/>
  <c r="AD21" i="23"/>
  <c r="D22" i="21"/>
  <c r="AE22" i="21" s="1"/>
  <c r="D22" i="19"/>
  <c r="AE22" i="19" s="1"/>
  <c r="D21" i="18"/>
  <c r="AE21" i="18" s="1"/>
  <c r="A22" i="16"/>
  <c r="C23" i="16"/>
  <c r="AD23" i="20"/>
  <c r="A23" i="10"/>
  <c r="C24" i="10"/>
  <c r="AI22" i="21"/>
  <c r="AD22" i="16"/>
  <c r="AI23" i="14"/>
  <c r="D22" i="13"/>
  <c r="AE22" i="13" s="1"/>
  <c r="A23" i="4"/>
  <c r="C24" i="4"/>
  <c r="A22" i="14"/>
  <c r="C23" i="14"/>
  <c r="C24" i="23"/>
  <c r="A23" i="23"/>
  <c r="AI22" i="4"/>
  <c r="D22" i="11"/>
  <c r="AE22" i="11" s="1"/>
  <c r="A23" i="21"/>
  <c r="C24" i="21"/>
  <c r="C24" i="19"/>
  <c r="A23" i="19"/>
  <c r="C23" i="18"/>
  <c r="A22" i="18"/>
  <c r="D21" i="16"/>
  <c r="AE21" i="16" s="1"/>
  <c r="AJ21" i="16"/>
  <c r="A23" i="6"/>
  <c r="C24" i="6"/>
  <c r="D22" i="15"/>
  <c r="AE22" i="15" s="1"/>
  <c r="AI21" i="10"/>
  <c r="AI22" i="11"/>
  <c r="D22" i="12"/>
  <c r="AE22" i="12" s="1"/>
  <c r="D21" i="20"/>
  <c r="AE21" i="20" s="1"/>
  <c r="AI22" i="8"/>
  <c r="A22" i="20"/>
  <c r="C23" i="20"/>
  <c r="AI21" i="23"/>
  <c r="AI21" i="5"/>
  <c r="AD21" i="14"/>
  <c r="AI21" i="22"/>
  <c r="AD23" i="10"/>
  <c r="A23" i="11"/>
  <c r="C24" i="11"/>
  <c r="D23" i="8"/>
  <c r="AE23" i="8" s="1"/>
  <c r="AI22" i="19"/>
  <c r="AD21" i="17"/>
  <c r="AD22" i="22"/>
  <c r="D22" i="6"/>
  <c r="AE22" i="6" s="1"/>
  <c r="AJ22" i="6"/>
  <c r="C24" i="15"/>
  <c r="A23" i="15"/>
  <c r="AI21" i="20"/>
  <c r="AD21" i="7"/>
  <c r="C24" i="17"/>
  <c r="A23" i="17"/>
  <c r="AD22" i="11"/>
  <c r="AD21" i="8"/>
  <c r="A24" i="8"/>
  <c r="C25" i="8"/>
  <c r="AD21" i="13"/>
  <c r="A23" i="13"/>
  <c r="C24" i="13"/>
  <c r="D22" i="17"/>
  <c r="AE22" i="17" s="1"/>
  <c r="L23" i="3"/>
  <c r="AD22" i="3"/>
  <c r="AI22" i="3"/>
  <c r="U23" i="13" l="1"/>
  <c r="AI22" i="13"/>
  <c r="M24" i="8"/>
  <c r="V24" i="8"/>
  <c r="M23" i="15"/>
  <c r="V23" i="15"/>
  <c r="AJ23" i="15" s="1"/>
  <c r="M23" i="23"/>
  <c r="V23" i="23"/>
  <c r="AJ23" i="23" s="1"/>
  <c r="M22" i="16"/>
  <c r="V22" i="16"/>
  <c r="M22" i="9"/>
  <c r="V22" i="9"/>
  <c r="AJ22" i="9" s="1"/>
  <c r="M22" i="5"/>
  <c r="V22" i="5"/>
  <c r="AJ22" i="5" s="1"/>
  <c r="M22" i="20"/>
  <c r="V22" i="20"/>
  <c r="AJ22" i="20" s="1"/>
  <c r="M23" i="19"/>
  <c r="V23" i="19"/>
  <c r="AJ23" i="19" s="1"/>
  <c r="M22" i="7"/>
  <c r="V22" i="7"/>
  <c r="AJ22" i="7" s="1"/>
  <c r="U23" i="17"/>
  <c r="AI22" i="17"/>
  <c r="M23" i="11"/>
  <c r="V23" i="11"/>
  <c r="AJ23" i="11" s="1"/>
  <c r="M23" i="12"/>
  <c r="V23" i="12"/>
  <c r="M22" i="18"/>
  <c r="V22" i="18"/>
  <c r="AJ22" i="18" s="1"/>
  <c r="M22" i="14"/>
  <c r="V22" i="14"/>
  <c r="AJ22" i="14" s="1"/>
  <c r="M23" i="17"/>
  <c r="V23" i="17"/>
  <c r="AJ23" i="17" s="1"/>
  <c r="M23" i="6"/>
  <c r="V23" i="6"/>
  <c r="AJ23" i="6" s="1"/>
  <c r="M23" i="21"/>
  <c r="V23" i="21"/>
  <c r="M23" i="13"/>
  <c r="V23" i="13"/>
  <c r="AJ23" i="13" s="1"/>
  <c r="M23" i="4"/>
  <c r="V23" i="4"/>
  <c r="AJ23" i="4" s="1"/>
  <c r="M23" i="10"/>
  <c r="V23" i="10"/>
  <c r="M22" i="22"/>
  <c r="V22" i="22"/>
  <c r="AI22" i="16"/>
  <c r="A23" i="9"/>
  <c r="C24" i="9"/>
  <c r="D22" i="9"/>
  <c r="AE22" i="9" s="1"/>
  <c r="C24" i="16"/>
  <c r="A23" i="16"/>
  <c r="AI22" i="20"/>
  <c r="D23" i="6"/>
  <c r="AE23" i="6" s="1"/>
  <c r="D23" i="19"/>
  <c r="AE23" i="19" s="1"/>
  <c r="AI23" i="4"/>
  <c r="AI23" i="21"/>
  <c r="AI23" i="15"/>
  <c r="AD22" i="5"/>
  <c r="AD23" i="18"/>
  <c r="AD22" i="9"/>
  <c r="AD23" i="16"/>
  <c r="AD22" i="7"/>
  <c r="AD23" i="22"/>
  <c r="A24" i="11"/>
  <c r="C25" i="11"/>
  <c r="C26" i="8"/>
  <c r="A25" i="8"/>
  <c r="AD22" i="17"/>
  <c r="D23" i="11"/>
  <c r="AE23" i="11" s="1"/>
  <c r="AI23" i="8"/>
  <c r="AI23" i="11"/>
  <c r="C25" i="19"/>
  <c r="A24" i="19"/>
  <c r="D23" i="23"/>
  <c r="AE23" i="23" s="1"/>
  <c r="AD22" i="23"/>
  <c r="AD22" i="14"/>
  <c r="D23" i="4"/>
  <c r="AE23" i="4" s="1"/>
  <c r="C25" i="6"/>
  <c r="A24" i="6"/>
  <c r="D24" i="8"/>
  <c r="AE24" i="8" s="1"/>
  <c r="AJ24" i="8"/>
  <c r="AD23" i="11"/>
  <c r="D23" i="15"/>
  <c r="AE23" i="15" s="1"/>
  <c r="C25" i="21"/>
  <c r="A24" i="21"/>
  <c r="A24" i="23"/>
  <c r="C25" i="23"/>
  <c r="C25" i="10"/>
  <c r="A24" i="10"/>
  <c r="A24" i="12"/>
  <c r="C25" i="12"/>
  <c r="D22" i="7"/>
  <c r="AE22" i="7" s="1"/>
  <c r="C24" i="20"/>
  <c r="A23" i="20"/>
  <c r="D22" i="5"/>
  <c r="AE22" i="5" s="1"/>
  <c r="AD23" i="12"/>
  <c r="C24" i="5"/>
  <c r="A23" i="5"/>
  <c r="AI22" i="7"/>
  <c r="AD22" i="8"/>
  <c r="A24" i="15"/>
  <c r="C25" i="15"/>
  <c r="AI23" i="19"/>
  <c r="AD24" i="10"/>
  <c r="AI22" i="5"/>
  <c r="AI22" i="10"/>
  <c r="D23" i="21"/>
  <c r="AE23" i="21" s="1"/>
  <c r="AJ23" i="21"/>
  <c r="C24" i="14"/>
  <c r="A23" i="14"/>
  <c r="D23" i="10"/>
  <c r="AE23" i="10" s="1"/>
  <c r="AJ23" i="10"/>
  <c r="AD22" i="15"/>
  <c r="D23" i="12"/>
  <c r="AE23" i="12" s="1"/>
  <c r="AJ23" i="12"/>
  <c r="C24" i="22"/>
  <c r="A23" i="22"/>
  <c r="A23" i="7"/>
  <c r="C24" i="7"/>
  <c r="AI23" i="6"/>
  <c r="AD22" i="13"/>
  <c r="D22" i="16"/>
  <c r="AE22" i="16" s="1"/>
  <c r="AJ22" i="16"/>
  <c r="D23" i="17"/>
  <c r="AE23" i="17" s="1"/>
  <c r="AI22" i="22"/>
  <c r="D22" i="18"/>
  <c r="AE22" i="18" s="1"/>
  <c r="D22" i="14"/>
  <c r="AE22" i="14" s="1"/>
  <c r="AI24" i="14"/>
  <c r="AD24" i="20"/>
  <c r="AD22" i="19"/>
  <c r="AD22" i="6"/>
  <c r="AJ22" i="22"/>
  <c r="D22" i="22"/>
  <c r="AE22" i="22" s="1"/>
  <c r="AD23" i="21"/>
  <c r="AD22" i="4"/>
  <c r="D23" i="13"/>
  <c r="AE23" i="13" s="1"/>
  <c r="D22" i="20"/>
  <c r="AE22" i="20" s="1"/>
  <c r="A24" i="13"/>
  <c r="C25" i="13"/>
  <c r="A24" i="17"/>
  <c r="C25" i="17"/>
  <c r="AI22" i="23"/>
  <c r="A23" i="18"/>
  <c r="C24" i="18"/>
  <c r="C25" i="4"/>
  <c r="A24" i="4"/>
  <c r="AI22" i="18"/>
  <c r="AI22" i="12"/>
  <c r="AI23" i="9"/>
  <c r="L24" i="3"/>
  <c r="AD23" i="3"/>
  <c r="AI23" i="3"/>
  <c r="M24" i="23" l="1"/>
  <c r="V24" i="23"/>
  <c r="AJ24" i="23" s="1"/>
  <c r="M24" i="6"/>
  <c r="V24" i="6"/>
  <c r="AJ24" i="6" s="1"/>
  <c r="M24" i="19"/>
  <c r="V24" i="19"/>
  <c r="AJ24" i="19" s="1"/>
  <c r="M25" i="8"/>
  <c r="V25" i="8"/>
  <c r="AJ25" i="8" s="1"/>
  <c r="M23" i="9"/>
  <c r="V23" i="9"/>
  <c r="AJ23" i="9" s="1"/>
  <c r="M24" i="21"/>
  <c r="V24" i="21"/>
  <c r="U24" i="17"/>
  <c r="AI23" i="17"/>
  <c r="M24" i="15"/>
  <c r="V24" i="15"/>
  <c r="AJ24" i="15" s="1"/>
  <c r="M23" i="18"/>
  <c r="V23" i="18"/>
  <c r="AJ23" i="18" s="1"/>
  <c r="M23" i="5"/>
  <c r="V23" i="5"/>
  <c r="AJ23" i="5" s="1"/>
  <c r="M23" i="20"/>
  <c r="V23" i="20"/>
  <c r="AJ23" i="20" s="1"/>
  <c r="M24" i="17"/>
  <c r="V24" i="17"/>
  <c r="AJ24" i="17" s="1"/>
  <c r="M24" i="11"/>
  <c r="V24" i="11"/>
  <c r="AJ24" i="11" s="1"/>
  <c r="M23" i="16"/>
  <c r="V23" i="16"/>
  <c r="M23" i="14"/>
  <c r="V23" i="14"/>
  <c r="AJ23" i="14" s="1"/>
  <c r="M23" i="22"/>
  <c r="V23" i="22"/>
  <c r="AJ23" i="22" s="1"/>
  <c r="M24" i="12"/>
  <c r="V24" i="12"/>
  <c r="M23" i="7"/>
  <c r="V23" i="7"/>
  <c r="AJ23" i="7" s="1"/>
  <c r="M24" i="4"/>
  <c r="V24" i="4"/>
  <c r="AJ24" i="4" s="1"/>
  <c r="M24" i="13"/>
  <c r="V24" i="13"/>
  <c r="AJ24" i="13" s="1"/>
  <c r="M24" i="10"/>
  <c r="V24" i="10"/>
  <c r="AJ24" i="10" s="1"/>
  <c r="U24" i="13"/>
  <c r="AI23" i="13"/>
  <c r="AI23" i="16"/>
  <c r="C25" i="9"/>
  <c r="A24" i="9"/>
  <c r="D23" i="9"/>
  <c r="AE23" i="9" s="1"/>
  <c r="D24" i="6"/>
  <c r="AE24" i="6" s="1"/>
  <c r="AI23" i="18"/>
  <c r="AI24" i="8"/>
  <c r="AD23" i="7"/>
  <c r="A25" i="13"/>
  <c r="C26" i="13"/>
  <c r="AD23" i="4"/>
  <c r="AD23" i="15"/>
  <c r="D23" i="5"/>
  <c r="AE23" i="5" s="1"/>
  <c r="D24" i="10"/>
  <c r="AE24" i="10" s="1"/>
  <c r="AD23" i="5"/>
  <c r="AI23" i="22"/>
  <c r="C25" i="14"/>
  <c r="A24" i="14"/>
  <c r="AD25" i="10"/>
  <c r="C26" i="12"/>
  <c r="A25" i="12"/>
  <c r="AD23" i="17"/>
  <c r="AD24" i="18"/>
  <c r="D24" i="4"/>
  <c r="AE24" i="4" s="1"/>
  <c r="C26" i="4"/>
  <c r="A25" i="4"/>
  <c r="D24" i="13"/>
  <c r="AE24" i="13" s="1"/>
  <c r="AD23" i="19"/>
  <c r="C25" i="7"/>
  <c r="A24" i="7"/>
  <c r="AI24" i="19"/>
  <c r="C25" i="5"/>
  <c r="A24" i="5"/>
  <c r="D23" i="20"/>
  <c r="AE23" i="20" s="1"/>
  <c r="C26" i="10"/>
  <c r="A25" i="10"/>
  <c r="D25" i="8"/>
  <c r="AE25" i="8" s="1"/>
  <c r="AD24" i="16"/>
  <c r="AI23" i="20"/>
  <c r="D23" i="7"/>
  <c r="AE23" i="7" s="1"/>
  <c r="C26" i="15"/>
  <c r="A25" i="15"/>
  <c r="C25" i="20"/>
  <c r="A24" i="20"/>
  <c r="C26" i="23"/>
  <c r="A25" i="23"/>
  <c r="AD24" i="11"/>
  <c r="D24" i="19"/>
  <c r="AE24" i="19" s="1"/>
  <c r="C27" i="8"/>
  <c r="A26" i="8"/>
  <c r="AI24" i="15"/>
  <c r="D23" i="18"/>
  <c r="AE23" i="18" s="1"/>
  <c r="AD24" i="21"/>
  <c r="AD25" i="20"/>
  <c r="D23" i="22"/>
  <c r="AE23" i="22" s="1"/>
  <c r="AI23" i="10"/>
  <c r="D24" i="15"/>
  <c r="AE24" i="15" s="1"/>
  <c r="D24" i="23"/>
  <c r="AE24" i="23" s="1"/>
  <c r="C26" i="19"/>
  <c r="A25" i="19"/>
  <c r="C26" i="11"/>
  <c r="A25" i="11"/>
  <c r="AD23" i="9"/>
  <c r="A25" i="17"/>
  <c r="C26" i="17"/>
  <c r="AI24" i="4"/>
  <c r="A24" i="22"/>
  <c r="C25" i="22"/>
  <c r="AI23" i="5"/>
  <c r="AD24" i="12"/>
  <c r="AJ24" i="21"/>
  <c r="D24" i="21"/>
  <c r="AE24" i="21" s="1"/>
  <c r="AD23" i="14"/>
  <c r="D24" i="11"/>
  <c r="AE24" i="11" s="1"/>
  <c r="AI24" i="21"/>
  <c r="D23" i="16"/>
  <c r="AE23" i="16" s="1"/>
  <c r="AJ23" i="16"/>
  <c r="AI25" i="14"/>
  <c r="AD23" i="13"/>
  <c r="AI23" i="7"/>
  <c r="D24" i="17"/>
  <c r="AE24" i="17" s="1"/>
  <c r="AD23" i="6"/>
  <c r="AI24" i="6"/>
  <c r="AJ24" i="12"/>
  <c r="D24" i="12"/>
  <c r="AE24" i="12" s="1"/>
  <c r="C26" i="6"/>
  <c r="A25" i="6"/>
  <c r="C25" i="18"/>
  <c r="A24" i="18"/>
  <c r="AI24" i="9"/>
  <c r="AI23" i="12"/>
  <c r="AI23" i="23"/>
  <c r="D23" i="14"/>
  <c r="AE23" i="14" s="1"/>
  <c r="AD23" i="8"/>
  <c r="C26" i="21"/>
  <c r="A25" i="21"/>
  <c r="AD23" i="23"/>
  <c r="AI24" i="11"/>
  <c r="AD24" i="22"/>
  <c r="C25" i="16"/>
  <c r="A24" i="16"/>
  <c r="L25" i="3"/>
  <c r="AD24" i="3"/>
  <c r="AI24" i="3"/>
  <c r="M24" i="18" l="1"/>
  <c r="V24" i="18"/>
  <c r="AJ24" i="18" s="1"/>
  <c r="M24" i="22"/>
  <c r="V24" i="22"/>
  <c r="M24" i="9"/>
  <c r="V24" i="9"/>
  <c r="AJ24" i="9" s="1"/>
  <c r="M25" i="12"/>
  <c r="V25" i="12"/>
  <c r="AJ25" i="12" s="1"/>
  <c r="M25" i="21"/>
  <c r="V25" i="21"/>
  <c r="AJ25" i="21" s="1"/>
  <c r="M25" i="19"/>
  <c r="V25" i="19"/>
  <c r="M25" i="13"/>
  <c r="V25" i="13"/>
  <c r="AJ25" i="13" s="1"/>
  <c r="M25" i="6"/>
  <c r="V25" i="6"/>
  <c r="AJ25" i="6" s="1"/>
  <c r="U25" i="17"/>
  <c r="AI24" i="17"/>
  <c r="M25" i="15"/>
  <c r="V25" i="15"/>
  <c r="M24" i="16"/>
  <c r="V24" i="16"/>
  <c r="AJ24" i="16" s="1"/>
  <c r="M25" i="17"/>
  <c r="V25" i="17"/>
  <c r="AJ25" i="17" s="1"/>
  <c r="M25" i="23"/>
  <c r="V25" i="23"/>
  <c r="M25" i="4"/>
  <c r="V25" i="4"/>
  <c r="AJ25" i="4" s="1"/>
  <c r="M24" i="14"/>
  <c r="V24" i="14"/>
  <c r="AJ24" i="14" s="1"/>
  <c r="U25" i="13"/>
  <c r="AI24" i="13"/>
  <c r="M24" i="5"/>
  <c r="V24" i="5"/>
  <c r="M24" i="20"/>
  <c r="V24" i="20"/>
  <c r="AJ24" i="20" s="1"/>
  <c r="M25" i="10"/>
  <c r="V25" i="10"/>
  <c r="AJ25" i="10" s="1"/>
  <c r="M25" i="11"/>
  <c r="V25" i="11"/>
  <c r="AJ25" i="11" s="1"/>
  <c r="M26" i="8"/>
  <c r="V26" i="8"/>
  <c r="AJ26" i="8" s="1"/>
  <c r="M24" i="7"/>
  <c r="V24" i="7"/>
  <c r="AI24" i="16"/>
  <c r="D24" i="9"/>
  <c r="AE24" i="9" s="1"/>
  <c r="C26" i="9"/>
  <c r="A25" i="9"/>
  <c r="AI25" i="15"/>
  <c r="AJ25" i="23"/>
  <c r="D25" i="23"/>
  <c r="AE25" i="23" s="1"/>
  <c r="C26" i="5"/>
  <c r="A25" i="5"/>
  <c r="A25" i="14"/>
  <c r="C26" i="14"/>
  <c r="AD24" i="15"/>
  <c r="AI24" i="7"/>
  <c r="AJ24" i="5"/>
  <c r="D24" i="5"/>
  <c r="AE24" i="5" s="1"/>
  <c r="D24" i="18"/>
  <c r="AE24" i="18" s="1"/>
  <c r="AI25" i="4"/>
  <c r="C26" i="18"/>
  <c r="A25" i="18"/>
  <c r="C27" i="17"/>
  <c r="A26" i="17"/>
  <c r="AI25" i="8"/>
  <c r="D25" i="6"/>
  <c r="AE25" i="6" s="1"/>
  <c r="AD24" i="6"/>
  <c r="AD25" i="12"/>
  <c r="D25" i="17"/>
  <c r="AE25" i="17" s="1"/>
  <c r="C27" i="19"/>
  <c r="A26" i="19"/>
  <c r="AD25" i="21"/>
  <c r="A27" i="8"/>
  <c r="C28" i="8"/>
  <c r="D24" i="20"/>
  <c r="AE24" i="20" s="1"/>
  <c r="D25" i="10"/>
  <c r="AE25" i="10" s="1"/>
  <c r="AI25" i="19"/>
  <c r="D25" i="4"/>
  <c r="AE25" i="4" s="1"/>
  <c r="D25" i="11"/>
  <c r="AE25" i="11" s="1"/>
  <c r="D24" i="14"/>
  <c r="AE24" i="14" s="1"/>
  <c r="AD24" i="13"/>
  <c r="A26" i="11"/>
  <c r="C27" i="11"/>
  <c r="AD24" i="23"/>
  <c r="D25" i="21"/>
  <c r="AE25" i="21" s="1"/>
  <c r="AI24" i="23"/>
  <c r="C27" i="6"/>
  <c r="A26" i="6"/>
  <c r="AI26" i="14"/>
  <c r="AI24" i="5"/>
  <c r="A25" i="20"/>
  <c r="C26" i="20"/>
  <c r="A26" i="10"/>
  <c r="C27" i="10"/>
  <c r="AJ24" i="7"/>
  <c r="D24" i="7"/>
  <c r="AE24" i="7" s="1"/>
  <c r="A26" i="4"/>
  <c r="C27" i="4"/>
  <c r="D25" i="12"/>
  <c r="AE25" i="12" s="1"/>
  <c r="AD24" i="4"/>
  <c r="AI24" i="18"/>
  <c r="AI25" i="21"/>
  <c r="D25" i="19"/>
  <c r="AE25" i="19" s="1"/>
  <c r="AJ25" i="19"/>
  <c r="AD26" i="20"/>
  <c r="AI24" i="20"/>
  <c r="D24" i="16"/>
  <c r="AE24" i="16" s="1"/>
  <c r="C26" i="16"/>
  <c r="A25" i="16"/>
  <c r="A26" i="21"/>
  <c r="C27" i="21"/>
  <c r="AD24" i="14"/>
  <c r="AI24" i="10"/>
  <c r="AJ25" i="15"/>
  <c r="D25" i="15"/>
  <c r="AE25" i="15" s="1"/>
  <c r="AD25" i="16"/>
  <c r="C26" i="7"/>
  <c r="A25" i="7"/>
  <c r="C27" i="12"/>
  <c r="A26" i="12"/>
  <c r="AD24" i="5"/>
  <c r="C27" i="13"/>
  <c r="A26" i="13"/>
  <c r="AD25" i="18"/>
  <c r="AD24" i="7"/>
  <c r="AI25" i="11"/>
  <c r="AI25" i="6"/>
  <c r="AD24" i="17"/>
  <c r="AD24" i="8"/>
  <c r="C26" i="22"/>
  <c r="A25" i="22"/>
  <c r="C27" i="15"/>
  <c r="A26" i="15"/>
  <c r="AD26" i="10"/>
  <c r="D25" i="13"/>
  <c r="AE25" i="13" s="1"/>
  <c r="AI25" i="9"/>
  <c r="D26" i="8"/>
  <c r="AE26" i="8" s="1"/>
  <c r="C27" i="23"/>
  <c r="A26" i="23"/>
  <c r="AI24" i="22"/>
  <c r="AI24" i="12"/>
  <c r="AD25" i="22"/>
  <c r="D24" i="22"/>
  <c r="AE24" i="22" s="1"/>
  <c r="AJ24" i="22"/>
  <c r="AD24" i="9"/>
  <c r="AD25" i="11"/>
  <c r="AD24" i="19"/>
  <c r="L26" i="3"/>
  <c r="AD25" i="3"/>
  <c r="AI25" i="3"/>
  <c r="U26" i="13" l="1"/>
  <c r="AI25" i="13"/>
  <c r="M26" i="12"/>
  <c r="V26" i="12"/>
  <c r="M25" i="5"/>
  <c r="V25" i="5"/>
  <c r="AJ25" i="5" s="1"/>
  <c r="M26" i="10"/>
  <c r="V26" i="10"/>
  <c r="AJ26" i="10" s="1"/>
  <c r="M25" i="20"/>
  <c r="V25" i="20"/>
  <c r="AJ25" i="20" s="1"/>
  <c r="M27" i="8"/>
  <c r="V27" i="8"/>
  <c r="AJ27" i="8" s="1"/>
  <c r="M26" i="4"/>
  <c r="V26" i="4"/>
  <c r="AJ26" i="4" s="1"/>
  <c r="M26" i="11"/>
  <c r="V26" i="11"/>
  <c r="AJ26" i="11" s="1"/>
  <c r="M26" i="19"/>
  <c r="V26" i="19"/>
  <c r="M25" i="14"/>
  <c r="V25" i="14"/>
  <c r="M25" i="7"/>
  <c r="V25" i="7"/>
  <c r="AJ25" i="7" s="1"/>
  <c r="M26" i="23"/>
  <c r="V26" i="23"/>
  <c r="AJ26" i="23" s="1"/>
  <c r="M26" i="21"/>
  <c r="V26" i="21"/>
  <c r="AJ26" i="21" s="1"/>
  <c r="M26" i="6"/>
  <c r="V26" i="6"/>
  <c r="M26" i="17"/>
  <c r="V26" i="17"/>
  <c r="AJ26" i="17" s="1"/>
  <c r="M26" i="15"/>
  <c r="V26" i="15"/>
  <c r="AJ26" i="15" s="1"/>
  <c r="M25" i="16"/>
  <c r="V25" i="16"/>
  <c r="AJ25" i="16" s="1"/>
  <c r="M25" i="22"/>
  <c r="V25" i="22"/>
  <c r="AJ25" i="22" s="1"/>
  <c r="M26" i="13"/>
  <c r="V26" i="13"/>
  <c r="AJ26" i="13" s="1"/>
  <c r="M25" i="18"/>
  <c r="V25" i="18"/>
  <c r="AJ25" i="18" s="1"/>
  <c r="M25" i="9"/>
  <c r="V25" i="9"/>
  <c r="AJ25" i="9" s="1"/>
  <c r="U26" i="17"/>
  <c r="AI25" i="17"/>
  <c r="AI25" i="16"/>
  <c r="D25" i="9"/>
  <c r="AE25" i="9" s="1"/>
  <c r="A26" i="9"/>
  <c r="C27" i="9"/>
  <c r="C28" i="4"/>
  <c r="A27" i="4"/>
  <c r="A26" i="18"/>
  <c r="C27" i="18"/>
  <c r="D26" i="4"/>
  <c r="AE26" i="4" s="1"/>
  <c r="D26" i="21"/>
  <c r="AE26" i="21" s="1"/>
  <c r="AD27" i="20"/>
  <c r="AI25" i="18"/>
  <c r="AI25" i="5"/>
  <c r="AI26" i="4"/>
  <c r="AI25" i="7"/>
  <c r="AI25" i="23"/>
  <c r="AD25" i="5"/>
  <c r="AI25" i="12"/>
  <c r="D26" i="15"/>
  <c r="AE26" i="15" s="1"/>
  <c r="AD25" i="7"/>
  <c r="A27" i="12"/>
  <c r="C28" i="12"/>
  <c r="D25" i="16"/>
  <c r="AE25" i="16" s="1"/>
  <c r="AD25" i="4"/>
  <c r="AI27" i="14"/>
  <c r="AI26" i="19"/>
  <c r="A28" i="8"/>
  <c r="C29" i="8"/>
  <c r="D25" i="20"/>
  <c r="AE25" i="20" s="1"/>
  <c r="AD25" i="13"/>
  <c r="AI25" i="20"/>
  <c r="AJ26" i="12"/>
  <c r="D26" i="12"/>
  <c r="AE26" i="12" s="1"/>
  <c r="A27" i="15"/>
  <c r="C28" i="15"/>
  <c r="AD26" i="18"/>
  <c r="D25" i="7"/>
  <c r="AE25" i="7" s="1"/>
  <c r="AI25" i="10"/>
  <c r="C27" i="16"/>
  <c r="A26" i="16"/>
  <c r="D27" i="8"/>
  <c r="AE27" i="8" s="1"/>
  <c r="AI26" i="8"/>
  <c r="AD25" i="15"/>
  <c r="C28" i="19"/>
  <c r="A27" i="19"/>
  <c r="C27" i="5"/>
  <c r="A26" i="5"/>
  <c r="AD25" i="17"/>
  <c r="AI26" i="11"/>
  <c r="C28" i="21"/>
  <c r="A27" i="21"/>
  <c r="AD26" i="22"/>
  <c r="AD27" i="10"/>
  <c r="AD25" i="9"/>
  <c r="AI26" i="9"/>
  <c r="D25" i="22"/>
  <c r="AE25" i="22" s="1"/>
  <c r="A26" i="7"/>
  <c r="C27" i="7"/>
  <c r="C28" i="10"/>
  <c r="A27" i="10"/>
  <c r="D26" i="6"/>
  <c r="AE26" i="6" s="1"/>
  <c r="AJ26" i="6"/>
  <c r="AD25" i="23"/>
  <c r="AD26" i="21"/>
  <c r="AD26" i="12"/>
  <c r="D26" i="17"/>
  <c r="AE26" i="17" s="1"/>
  <c r="C27" i="14"/>
  <c r="A26" i="14"/>
  <c r="AD26" i="11"/>
  <c r="C28" i="23"/>
  <c r="A27" i="23"/>
  <c r="AD25" i="8"/>
  <c r="AI25" i="22"/>
  <c r="C27" i="22"/>
  <c r="A26" i="22"/>
  <c r="AI26" i="6"/>
  <c r="D26" i="13"/>
  <c r="AE26" i="13" s="1"/>
  <c r="AD26" i="16"/>
  <c r="D26" i="10"/>
  <c r="AE26" i="10" s="1"/>
  <c r="C28" i="6"/>
  <c r="A27" i="6"/>
  <c r="A27" i="11"/>
  <c r="C28" i="11"/>
  <c r="AD25" i="6"/>
  <c r="A27" i="17"/>
  <c r="C28" i="17"/>
  <c r="AJ25" i="14"/>
  <c r="D25" i="14"/>
  <c r="AE25" i="14" s="1"/>
  <c r="AI26" i="15"/>
  <c r="AD25" i="19"/>
  <c r="D26" i="23"/>
  <c r="AE26" i="23" s="1"/>
  <c r="A27" i="13"/>
  <c r="C28" i="13"/>
  <c r="AD25" i="14"/>
  <c r="AI26" i="21"/>
  <c r="C27" i="20"/>
  <c r="A26" i="20"/>
  <c r="D26" i="11"/>
  <c r="AE26" i="11" s="1"/>
  <c r="D26" i="19"/>
  <c r="AE26" i="19" s="1"/>
  <c r="AJ26" i="19"/>
  <c r="D25" i="18"/>
  <c r="AE25" i="18" s="1"/>
  <c r="D25" i="5"/>
  <c r="AE25" i="5" s="1"/>
  <c r="L27" i="3"/>
  <c r="AD26" i="3"/>
  <c r="AI26" i="3"/>
  <c r="M27" i="23" l="1"/>
  <c r="V27" i="23"/>
  <c r="M27" i="17"/>
  <c r="V27" i="17"/>
  <c r="AJ27" i="17" s="1"/>
  <c r="M27" i="12"/>
  <c r="V27" i="12"/>
  <c r="AJ27" i="12" s="1"/>
  <c r="M26" i="9"/>
  <c r="V26" i="9"/>
  <c r="AJ26" i="9" s="1"/>
  <c r="M27" i="15"/>
  <c r="V27" i="15"/>
  <c r="AJ27" i="15" s="1"/>
  <c r="M28" i="8"/>
  <c r="V28" i="8"/>
  <c r="M26" i="18"/>
  <c r="V26" i="18"/>
  <c r="AJ26" i="18" s="1"/>
  <c r="M27" i="13"/>
  <c r="V27" i="13"/>
  <c r="AJ27" i="13" s="1"/>
  <c r="M26" i="14"/>
  <c r="V26" i="14"/>
  <c r="AJ26" i="14" s="1"/>
  <c r="M27" i="6"/>
  <c r="V27" i="6"/>
  <c r="AJ27" i="6" s="1"/>
  <c r="M26" i="22"/>
  <c r="V26" i="22"/>
  <c r="AJ26" i="22" s="1"/>
  <c r="M27" i="10"/>
  <c r="V27" i="10"/>
  <c r="AJ27" i="10" s="1"/>
  <c r="M26" i="5"/>
  <c r="V26" i="5"/>
  <c r="M26" i="16"/>
  <c r="V26" i="16"/>
  <c r="AJ26" i="16" s="1"/>
  <c r="M27" i="4"/>
  <c r="V27" i="4"/>
  <c r="AJ27" i="4" s="1"/>
  <c r="U27" i="17"/>
  <c r="AI26" i="17"/>
  <c r="M27" i="21"/>
  <c r="V27" i="21"/>
  <c r="AJ27" i="21" s="1"/>
  <c r="M26" i="20"/>
  <c r="V26" i="20"/>
  <c r="AJ26" i="20" s="1"/>
  <c r="M26" i="7"/>
  <c r="V26" i="7"/>
  <c r="AJ26" i="7" s="1"/>
  <c r="M27" i="11"/>
  <c r="V27" i="11"/>
  <c r="AJ27" i="11" s="1"/>
  <c r="M27" i="19"/>
  <c r="V27" i="19"/>
  <c r="AJ27" i="19" s="1"/>
  <c r="U27" i="13"/>
  <c r="AI26" i="13"/>
  <c r="AI26" i="16"/>
  <c r="C28" i="9"/>
  <c r="A27" i="9"/>
  <c r="D26" i="9"/>
  <c r="AE26" i="9" s="1"/>
  <c r="D26" i="5"/>
  <c r="AE26" i="5" s="1"/>
  <c r="AJ26" i="5"/>
  <c r="C29" i="6"/>
  <c r="A28" i="6"/>
  <c r="D26" i="7"/>
  <c r="AE26" i="7" s="1"/>
  <c r="D27" i="21"/>
  <c r="AE27" i="21" s="1"/>
  <c r="D27" i="19"/>
  <c r="AE27" i="19" s="1"/>
  <c r="AI26" i="20"/>
  <c r="AD28" i="10"/>
  <c r="C29" i="21"/>
  <c r="A28" i="21"/>
  <c r="C29" i="19"/>
  <c r="A28" i="19"/>
  <c r="D26" i="16"/>
  <c r="AE26" i="16" s="1"/>
  <c r="AD27" i="18"/>
  <c r="AI27" i="19"/>
  <c r="C29" i="12"/>
  <c r="A28" i="12"/>
  <c r="AI26" i="12"/>
  <c r="AI26" i="18"/>
  <c r="C28" i="20"/>
  <c r="A27" i="20"/>
  <c r="C28" i="5"/>
  <c r="A27" i="5"/>
  <c r="AI27" i="6"/>
  <c r="AD26" i="6"/>
  <c r="D26" i="22"/>
  <c r="AE26" i="22" s="1"/>
  <c r="AD27" i="12"/>
  <c r="D27" i="10"/>
  <c r="AE27" i="10" s="1"/>
  <c r="AD26" i="15"/>
  <c r="C28" i="16"/>
  <c r="A27" i="16"/>
  <c r="C29" i="15"/>
  <c r="A28" i="15"/>
  <c r="AD26" i="13"/>
  <c r="D27" i="12"/>
  <c r="AE27" i="12" s="1"/>
  <c r="AI26" i="7"/>
  <c r="AD28" i="20"/>
  <c r="C28" i="18"/>
  <c r="A27" i="18"/>
  <c r="C28" i="7"/>
  <c r="A27" i="7"/>
  <c r="A29" i="8"/>
  <c r="C30" i="8"/>
  <c r="AJ27" i="23"/>
  <c r="D27" i="23"/>
  <c r="AE27" i="23" s="1"/>
  <c r="D27" i="17"/>
  <c r="AE27" i="17" s="1"/>
  <c r="A28" i="23"/>
  <c r="C29" i="23"/>
  <c r="AD26" i="14"/>
  <c r="AD27" i="16"/>
  <c r="A27" i="22"/>
  <c r="C28" i="22"/>
  <c r="AD27" i="11"/>
  <c r="C29" i="10"/>
  <c r="A28" i="10"/>
  <c r="AD27" i="22"/>
  <c r="AI27" i="11"/>
  <c r="AI26" i="10"/>
  <c r="D27" i="15"/>
  <c r="AE27" i="15" s="1"/>
  <c r="AI28" i="14"/>
  <c r="AD26" i="7"/>
  <c r="D26" i="18"/>
  <c r="AE26" i="18" s="1"/>
  <c r="AI26" i="5"/>
  <c r="AD26" i="8"/>
  <c r="D28" i="8"/>
  <c r="AE28" i="8" s="1"/>
  <c r="AJ28" i="8"/>
  <c r="A28" i="17"/>
  <c r="C29" i="17"/>
  <c r="AI27" i="21"/>
  <c r="AD26" i="19"/>
  <c r="A28" i="13"/>
  <c r="C29" i="13"/>
  <c r="AI27" i="15"/>
  <c r="C29" i="11"/>
  <c r="A28" i="11"/>
  <c r="D26" i="14"/>
  <c r="AE26" i="14" s="1"/>
  <c r="AD27" i="21"/>
  <c r="AI27" i="9"/>
  <c r="AI27" i="8"/>
  <c r="AD26" i="4"/>
  <c r="D27" i="4"/>
  <c r="AE27" i="4" s="1"/>
  <c r="D26" i="20"/>
  <c r="AE26" i="20" s="1"/>
  <c r="D27" i="6"/>
  <c r="AE27" i="6" s="1"/>
  <c r="AI26" i="23"/>
  <c r="D27" i="13"/>
  <c r="AE27" i="13" s="1"/>
  <c r="D27" i="11"/>
  <c r="AE27" i="11" s="1"/>
  <c r="AI26" i="22"/>
  <c r="C28" i="14"/>
  <c r="A27" i="14"/>
  <c r="AD26" i="23"/>
  <c r="AD26" i="9"/>
  <c r="AD26" i="17"/>
  <c r="AD26" i="5"/>
  <c r="AI27" i="4"/>
  <c r="A28" i="4"/>
  <c r="C29" i="4"/>
  <c r="L28" i="3"/>
  <c r="AD27" i="3"/>
  <c r="AI27" i="3"/>
  <c r="U28" i="17" l="1"/>
  <c r="AI27" i="17"/>
  <c r="M27" i="22"/>
  <c r="V27" i="22"/>
  <c r="AJ27" i="22" s="1"/>
  <c r="M27" i="5"/>
  <c r="V27" i="5"/>
  <c r="AJ27" i="5" s="1"/>
  <c r="M28" i="12"/>
  <c r="V28" i="12"/>
  <c r="AJ28" i="12" s="1"/>
  <c r="M27" i="9"/>
  <c r="V27" i="9"/>
  <c r="AJ27" i="9" s="1"/>
  <c r="M28" i="6"/>
  <c r="V28" i="6"/>
  <c r="AJ28" i="6" s="1"/>
  <c r="M28" i="17"/>
  <c r="V28" i="17"/>
  <c r="AJ28" i="17" s="1"/>
  <c r="M27" i="16"/>
  <c r="V27" i="16"/>
  <c r="AJ27" i="16" s="1"/>
  <c r="M27" i="14"/>
  <c r="V27" i="14"/>
  <c r="M29" i="8"/>
  <c r="V29" i="8"/>
  <c r="AJ29" i="8" s="1"/>
  <c r="M27" i="20"/>
  <c r="V27" i="20"/>
  <c r="AJ27" i="20" s="1"/>
  <c r="M28" i="4"/>
  <c r="V28" i="4"/>
  <c r="AJ28" i="4" s="1"/>
  <c r="M27" i="7"/>
  <c r="V27" i="7"/>
  <c r="AJ27" i="7" s="1"/>
  <c r="U28" i="13"/>
  <c r="AI27" i="13"/>
  <c r="M28" i="13"/>
  <c r="V28" i="13"/>
  <c r="AJ28" i="13" s="1"/>
  <c r="M28" i="10"/>
  <c r="V28" i="10"/>
  <c r="AJ28" i="10" s="1"/>
  <c r="M28" i="23"/>
  <c r="V28" i="23"/>
  <c r="AJ28" i="23" s="1"/>
  <c r="M28" i="15"/>
  <c r="V28" i="15"/>
  <c r="AJ28" i="15" s="1"/>
  <c r="M28" i="19"/>
  <c r="V28" i="19"/>
  <c r="AJ28" i="19" s="1"/>
  <c r="M28" i="11"/>
  <c r="V28" i="11"/>
  <c r="AJ28" i="11" s="1"/>
  <c r="M28" i="21"/>
  <c r="V28" i="21"/>
  <c r="AJ28" i="21" s="1"/>
  <c r="M27" i="18"/>
  <c r="V27" i="18"/>
  <c r="AI27" i="16"/>
  <c r="D27" i="9"/>
  <c r="AE27" i="9" s="1"/>
  <c r="A28" i="9"/>
  <c r="C29" i="9"/>
  <c r="D28" i="15"/>
  <c r="AE28" i="15" s="1"/>
  <c r="D28" i="21"/>
  <c r="AE28" i="21" s="1"/>
  <c r="AD27" i="5"/>
  <c r="AD27" i="23"/>
  <c r="AD27" i="19"/>
  <c r="AD27" i="8"/>
  <c r="AD28" i="11"/>
  <c r="A29" i="23"/>
  <c r="C30" i="23"/>
  <c r="C31" i="8"/>
  <c r="A30" i="8"/>
  <c r="A29" i="15"/>
  <c r="C30" i="15"/>
  <c r="AD28" i="18"/>
  <c r="A29" i="21"/>
  <c r="C30" i="21"/>
  <c r="D29" i="8"/>
  <c r="AE29" i="8" s="1"/>
  <c r="D27" i="16"/>
  <c r="AE27" i="16" s="1"/>
  <c r="AD28" i="12"/>
  <c r="AD29" i="10"/>
  <c r="A28" i="14"/>
  <c r="C29" i="14"/>
  <c r="A29" i="11"/>
  <c r="C30" i="11"/>
  <c r="AI27" i="5"/>
  <c r="AD27" i="7"/>
  <c r="AI28" i="11"/>
  <c r="A28" i="22"/>
  <c r="C29" i="22"/>
  <c r="D27" i="7"/>
  <c r="AE27" i="7" s="1"/>
  <c r="A28" i="16"/>
  <c r="C29" i="16"/>
  <c r="C29" i="5"/>
  <c r="A28" i="5"/>
  <c r="D28" i="6"/>
  <c r="AE28" i="6" s="1"/>
  <c r="AI28" i="6"/>
  <c r="AD27" i="17"/>
  <c r="D27" i="14"/>
  <c r="AE27" i="14" s="1"/>
  <c r="AJ27" i="14"/>
  <c r="AI28" i="8"/>
  <c r="D28" i="11"/>
  <c r="AE28" i="11" s="1"/>
  <c r="AI28" i="21"/>
  <c r="AI27" i="10"/>
  <c r="D28" i="23"/>
  <c r="AE28" i="23" s="1"/>
  <c r="AI27" i="7"/>
  <c r="D27" i="5"/>
  <c r="AE27" i="5" s="1"/>
  <c r="A29" i="4"/>
  <c r="C30" i="4"/>
  <c r="AI27" i="22"/>
  <c r="AI27" i="23"/>
  <c r="AI28" i="9"/>
  <c r="C30" i="17"/>
  <c r="A29" i="17"/>
  <c r="D27" i="22"/>
  <c r="AE27" i="22" s="1"/>
  <c r="C29" i="7"/>
  <c r="A28" i="7"/>
  <c r="AD27" i="15"/>
  <c r="D27" i="20"/>
  <c r="AE27" i="20" s="1"/>
  <c r="AI27" i="12"/>
  <c r="A29" i="6"/>
  <c r="C30" i="6"/>
  <c r="D28" i="17"/>
  <c r="AE28" i="17" s="1"/>
  <c r="A29" i="10"/>
  <c r="C30" i="10"/>
  <c r="AD29" i="20"/>
  <c r="A28" i="20"/>
  <c r="C29" i="20"/>
  <c r="D28" i="12"/>
  <c r="AE28" i="12" s="1"/>
  <c r="C30" i="13"/>
  <c r="A29" i="13"/>
  <c r="AD28" i="22"/>
  <c r="AD28" i="16"/>
  <c r="A28" i="18"/>
  <c r="C29" i="18"/>
  <c r="AD27" i="13"/>
  <c r="C30" i="12"/>
  <c r="A29" i="12"/>
  <c r="D28" i="19"/>
  <c r="AE28" i="19" s="1"/>
  <c r="AI27" i="20"/>
  <c r="D28" i="4"/>
  <c r="AE28" i="4" s="1"/>
  <c r="AD27" i="9"/>
  <c r="AD28" i="21"/>
  <c r="AI28" i="15"/>
  <c r="AI29" i="14"/>
  <c r="AJ27" i="18"/>
  <c r="D27" i="18"/>
  <c r="AE27" i="18" s="1"/>
  <c r="AI28" i="4"/>
  <c r="AD27" i="4"/>
  <c r="D28" i="13"/>
  <c r="AE28" i="13" s="1"/>
  <c r="D28" i="10"/>
  <c r="AE28" i="10" s="1"/>
  <c r="AD27" i="14"/>
  <c r="AD27" i="6"/>
  <c r="AI27" i="18"/>
  <c r="AI28" i="19"/>
  <c r="A29" i="19"/>
  <c r="C30" i="19"/>
  <c r="L29" i="3"/>
  <c r="AD28" i="3"/>
  <c r="AI28" i="3"/>
  <c r="M28" i="9" l="1"/>
  <c r="V28" i="9"/>
  <c r="AJ28" i="9" s="1"/>
  <c r="M28" i="18"/>
  <c r="V28" i="18"/>
  <c r="AJ28" i="18" s="1"/>
  <c r="M30" i="8"/>
  <c r="V30" i="8"/>
  <c r="AJ30" i="8" s="1"/>
  <c r="M28" i="16"/>
  <c r="V28" i="16"/>
  <c r="AJ28" i="16" s="1"/>
  <c r="M29" i="15"/>
  <c r="V29" i="15"/>
  <c r="AJ29" i="15" s="1"/>
  <c r="M29" i="13"/>
  <c r="V29" i="13"/>
  <c r="M29" i="11"/>
  <c r="V29" i="11"/>
  <c r="AJ29" i="11" s="1"/>
  <c r="M29" i="6"/>
  <c r="V29" i="6"/>
  <c r="AJ29" i="6" s="1"/>
  <c r="M29" i="17"/>
  <c r="V29" i="17"/>
  <c r="AJ29" i="17" s="1"/>
  <c r="M29" i="12"/>
  <c r="V29" i="12"/>
  <c r="M28" i="7"/>
  <c r="V28" i="7"/>
  <c r="AJ28" i="7" s="1"/>
  <c r="M29" i="23"/>
  <c r="V29" i="23"/>
  <c r="AJ29" i="23" s="1"/>
  <c r="U29" i="13"/>
  <c r="AI28" i="13"/>
  <c r="M28" i="5"/>
  <c r="V28" i="5"/>
  <c r="AJ28" i="5" s="1"/>
  <c r="M29" i="10"/>
  <c r="V29" i="10"/>
  <c r="AJ29" i="10" s="1"/>
  <c r="M29" i="19"/>
  <c r="V29" i="19"/>
  <c r="AJ29" i="19" s="1"/>
  <c r="M28" i="14"/>
  <c r="V28" i="14"/>
  <c r="M29" i="21"/>
  <c r="V29" i="21"/>
  <c r="AJ29" i="21" s="1"/>
  <c r="M28" i="20"/>
  <c r="V28" i="20"/>
  <c r="AJ28" i="20" s="1"/>
  <c r="M29" i="4"/>
  <c r="V29" i="4"/>
  <c r="AJ29" i="4" s="1"/>
  <c r="M28" i="22"/>
  <c r="V28" i="22"/>
  <c r="U29" i="17"/>
  <c r="AI28" i="17"/>
  <c r="AI28" i="16"/>
  <c r="A29" i="9"/>
  <c r="C30" i="9"/>
  <c r="D28" i="9"/>
  <c r="AE28" i="9" s="1"/>
  <c r="D29" i="15"/>
  <c r="AE29" i="15" s="1"/>
  <c r="AD28" i="5"/>
  <c r="AD30" i="20"/>
  <c r="C30" i="14"/>
  <c r="A29" i="14"/>
  <c r="C31" i="13"/>
  <c r="A30" i="13"/>
  <c r="D29" i="17"/>
  <c r="AE29" i="17" s="1"/>
  <c r="C31" i="4"/>
  <c r="A30" i="4"/>
  <c r="D28" i="16"/>
  <c r="AE28" i="16" s="1"/>
  <c r="D30" i="8"/>
  <c r="AE30" i="8" s="1"/>
  <c r="AD28" i="8"/>
  <c r="AD28" i="13"/>
  <c r="C30" i="16"/>
  <c r="A29" i="16"/>
  <c r="AI29" i="15"/>
  <c r="C31" i="10"/>
  <c r="A30" i="10"/>
  <c r="D29" i="6"/>
  <c r="AE29" i="6" s="1"/>
  <c r="AI28" i="18"/>
  <c r="AD29" i="21"/>
  <c r="AI28" i="20"/>
  <c r="A29" i="18"/>
  <c r="C30" i="18"/>
  <c r="D29" i="10"/>
  <c r="AE29" i="10" s="1"/>
  <c r="A30" i="17"/>
  <c r="C31" i="17"/>
  <c r="D29" i="4"/>
  <c r="AE29" i="4" s="1"/>
  <c r="AI29" i="6"/>
  <c r="AD28" i="7"/>
  <c r="AD30" i="10"/>
  <c r="C32" i="8"/>
  <c r="A31" i="8"/>
  <c r="AI30" i="14"/>
  <c r="A30" i="12"/>
  <c r="C31" i="12"/>
  <c r="C31" i="6"/>
  <c r="A30" i="6"/>
  <c r="AJ28" i="14"/>
  <c r="D28" i="14"/>
  <c r="AE28" i="14" s="1"/>
  <c r="AI29" i="4"/>
  <c r="AD28" i="15"/>
  <c r="AI29" i="9"/>
  <c r="AI28" i="10"/>
  <c r="AI29" i="8"/>
  <c r="AI28" i="5"/>
  <c r="AD29" i="12"/>
  <c r="C31" i="21"/>
  <c r="A30" i="21"/>
  <c r="C31" i="23"/>
  <c r="A30" i="23"/>
  <c r="AD28" i="17"/>
  <c r="A30" i="15"/>
  <c r="C31" i="15"/>
  <c r="AI29" i="19"/>
  <c r="D29" i="13"/>
  <c r="AE29" i="13" s="1"/>
  <c r="AJ29" i="13"/>
  <c r="D28" i="18"/>
  <c r="AE28" i="18" s="1"/>
  <c r="AD28" i="6"/>
  <c r="D28" i="7"/>
  <c r="AE28" i="7" s="1"/>
  <c r="D29" i="21"/>
  <c r="AE29" i="21" s="1"/>
  <c r="D29" i="23"/>
  <c r="AE29" i="23" s="1"/>
  <c r="AD28" i="19"/>
  <c r="D29" i="19"/>
  <c r="AE29" i="19" s="1"/>
  <c r="A29" i="5"/>
  <c r="C30" i="5"/>
  <c r="AI28" i="22"/>
  <c r="AI29" i="11"/>
  <c r="A30" i="19"/>
  <c r="C31" i="19"/>
  <c r="AD28" i="14"/>
  <c r="AD28" i="4"/>
  <c r="AD28" i="9"/>
  <c r="AD29" i="16"/>
  <c r="C30" i="20"/>
  <c r="A29" i="20"/>
  <c r="AI28" i="12"/>
  <c r="A29" i="7"/>
  <c r="C30" i="7"/>
  <c r="AI28" i="23"/>
  <c r="C30" i="22"/>
  <c r="A29" i="22"/>
  <c r="C31" i="11"/>
  <c r="A30" i="11"/>
  <c r="AD29" i="18"/>
  <c r="AD29" i="11"/>
  <c r="AD28" i="23"/>
  <c r="AJ29" i="12"/>
  <c r="D29" i="12"/>
  <c r="AE29" i="12" s="1"/>
  <c r="AD29" i="22"/>
  <c r="D28" i="20"/>
  <c r="AE28" i="20" s="1"/>
  <c r="AI28" i="7"/>
  <c r="AI29" i="21"/>
  <c r="D28" i="5"/>
  <c r="AE28" i="5" s="1"/>
  <c r="AJ28" i="22"/>
  <c r="D28" i="22"/>
  <c r="AE28" i="22" s="1"/>
  <c r="D29" i="11"/>
  <c r="AE29" i="11" s="1"/>
  <c r="L30" i="3"/>
  <c r="AD29" i="3"/>
  <c r="AI29" i="3"/>
  <c r="M30" i="10" l="1"/>
  <c r="V30" i="10"/>
  <c r="M30" i="6"/>
  <c r="V30" i="6"/>
  <c r="AJ30" i="6" s="1"/>
  <c r="M29" i="14"/>
  <c r="V29" i="14"/>
  <c r="AJ29" i="14" s="1"/>
  <c r="M29" i="5"/>
  <c r="V29" i="5"/>
  <c r="AJ29" i="5" s="1"/>
  <c r="M29" i="7"/>
  <c r="V29" i="7"/>
  <c r="AJ29" i="7" s="1"/>
  <c r="M30" i="15"/>
  <c r="V30" i="15"/>
  <c r="AJ30" i="15" s="1"/>
  <c r="M29" i="18"/>
  <c r="V29" i="18"/>
  <c r="AJ29" i="18" s="1"/>
  <c r="M29" i="9"/>
  <c r="V29" i="9"/>
  <c r="AJ29" i="9" s="1"/>
  <c r="M30" i="19"/>
  <c r="V30" i="19"/>
  <c r="AJ30" i="19" s="1"/>
  <c r="M29" i="16"/>
  <c r="V29" i="16"/>
  <c r="AJ29" i="16" s="1"/>
  <c r="M30" i="4"/>
  <c r="V30" i="4"/>
  <c r="AJ30" i="4" s="1"/>
  <c r="M30" i="11"/>
  <c r="V30" i="11"/>
  <c r="AJ30" i="11" s="1"/>
  <c r="M30" i="23"/>
  <c r="V30" i="23"/>
  <c r="AJ30" i="23" s="1"/>
  <c r="M30" i="12"/>
  <c r="V30" i="12"/>
  <c r="AJ30" i="12" s="1"/>
  <c r="M29" i="20"/>
  <c r="V29" i="20"/>
  <c r="AJ29" i="20" s="1"/>
  <c r="U30" i="17"/>
  <c r="AI29" i="17"/>
  <c r="M29" i="22"/>
  <c r="V29" i="22"/>
  <c r="AJ29" i="22" s="1"/>
  <c r="M30" i="21"/>
  <c r="V30" i="21"/>
  <c r="AJ30" i="21" s="1"/>
  <c r="M31" i="8"/>
  <c r="V31" i="8"/>
  <c r="AJ31" i="8" s="1"/>
  <c r="M30" i="17"/>
  <c r="V30" i="17"/>
  <c r="AJ30" i="17" s="1"/>
  <c r="M30" i="13"/>
  <c r="V30" i="13"/>
  <c r="AJ30" i="13" s="1"/>
  <c r="U30" i="13"/>
  <c r="AI29" i="13"/>
  <c r="AI29" i="16"/>
  <c r="A30" i="9"/>
  <c r="C31" i="9"/>
  <c r="D29" i="9"/>
  <c r="AE29" i="9" s="1"/>
  <c r="AD29" i="19"/>
  <c r="D29" i="22"/>
  <c r="AE29" i="22" s="1"/>
  <c r="AD29" i="23"/>
  <c r="A30" i="22"/>
  <c r="C31" i="22"/>
  <c r="C31" i="20"/>
  <c r="A30" i="20"/>
  <c r="AD29" i="14"/>
  <c r="D30" i="15"/>
  <c r="AE30" i="15" s="1"/>
  <c r="AI30" i="9"/>
  <c r="AI31" i="14"/>
  <c r="AI29" i="18"/>
  <c r="D29" i="16"/>
  <c r="AE29" i="16" s="1"/>
  <c r="C32" i="11"/>
  <c r="A31" i="11"/>
  <c r="AD29" i="4"/>
  <c r="AI30" i="19"/>
  <c r="AI29" i="10"/>
  <c r="AD30" i="16"/>
  <c r="C32" i="19"/>
  <c r="A31" i="19"/>
  <c r="A30" i="5"/>
  <c r="C31" i="5"/>
  <c r="AD29" i="17"/>
  <c r="AD29" i="15"/>
  <c r="D31" i="8"/>
  <c r="AE31" i="8" s="1"/>
  <c r="C31" i="18"/>
  <c r="A30" i="18"/>
  <c r="C31" i="16"/>
  <c r="A30" i="16"/>
  <c r="D30" i="13"/>
  <c r="AE30" i="13" s="1"/>
  <c r="C32" i="21"/>
  <c r="A31" i="21"/>
  <c r="AD30" i="12"/>
  <c r="AI30" i="6"/>
  <c r="AD29" i="5"/>
  <c r="AD30" i="22"/>
  <c r="AD30" i="11"/>
  <c r="AI29" i="23"/>
  <c r="D30" i="19"/>
  <c r="AE30" i="19" s="1"/>
  <c r="D29" i="5"/>
  <c r="AE29" i="5" s="1"/>
  <c r="AI29" i="5"/>
  <c r="A32" i="8"/>
  <c r="C33" i="8"/>
  <c r="D29" i="18"/>
  <c r="AE29" i="18" s="1"/>
  <c r="A31" i="13"/>
  <c r="C32" i="13"/>
  <c r="AI30" i="4"/>
  <c r="AI30" i="15"/>
  <c r="AD30" i="18"/>
  <c r="A30" i="7"/>
  <c r="C31" i="7"/>
  <c r="AD29" i="6"/>
  <c r="D30" i="23"/>
  <c r="AE30" i="23" s="1"/>
  <c r="D30" i="6"/>
  <c r="AE30" i="6" s="1"/>
  <c r="AD31" i="10"/>
  <c r="AD29" i="13"/>
  <c r="D29" i="14"/>
  <c r="AE29" i="14" s="1"/>
  <c r="D30" i="12"/>
  <c r="AE30" i="12" s="1"/>
  <c r="AD30" i="21"/>
  <c r="AI30" i="21"/>
  <c r="A31" i="23"/>
  <c r="C32" i="23"/>
  <c r="AI30" i="8"/>
  <c r="C32" i="6"/>
  <c r="A31" i="6"/>
  <c r="A31" i="17"/>
  <c r="C32" i="17"/>
  <c r="AI29" i="20"/>
  <c r="AJ30" i="10"/>
  <c r="D30" i="10"/>
  <c r="AE30" i="10" s="1"/>
  <c r="AD29" i="8"/>
  <c r="D30" i="4"/>
  <c r="AE30" i="4" s="1"/>
  <c r="C31" i="14"/>
  <c r="A30" i="14"/>
  <c r="D29" i="20"/>
  <c r="AE29" i="20" s="1"/>
  <c r="C32" i="15"/>
  <c r="A31" i="15"/>
  <c r="D29" i="7"/>
  <c r="AE29" i="7" s="1"/>
  <c r="AD29" i="9"/>
  <c r="AI30" i="11"/>
  <c r="AI29" i="7"/>
  <c r="D30" i="11"/>
  <c r="AE30" i="11" s="1"/>
  <c r="AI29" i="12"/>
  <c r="AI29" i="22"/>
  <c r="D30" i="21"/>
  <c r="AE30" i="21" s="1"/>
  <c r="A31" i="12"/>
  <c r="C32" i="12"/>
  <c r="AD29" i="7"/>
  <c r="D30" i="17"/>
  <c r="AE30" i="17" s="1"/>
  <c r="C32" i="10"/>
  <c r="A31" i="10"/>
  <c r="A31" i="4"/>
  <c r="C32" i="4"/>
  <c r="AD31" i="20"/>
  <c r="L31" i="3"/>
  <c r="AD30" i="3"/>
  <c r="AI30" i="3"/>
  <c r="M31" i="6" l="1"/>
  <c r="V31" i="6"/>
  <c r="M30" i="7"/>
  <c r="V30" i="7"/>
  <c r="M30" i="22"/>
  <c r="V30" i="22"/>
  <c r="AJ30" i="22" s="1"/>
  <c r="M30" i="9"/>
  <c r="V30" i="9"/>
  <c r="AJ30" i="9" s="1"/>
  <c r="M31" i="10"/>
  <c r="V31" i="10"/>
  <c r="M31" i="21"/>
  <c r="V31" i="21"/>
  <c r="M31" i="23"/>
  <c r="V31" i="23"/>
  <c r="AJ31" i="23" s="1"/>
  <c r="M32" i="8"/>
  <c r="V32" i="8"/>
  <c r="AJ32" i="8" s="1"/>
  <c r="M30" i="16"/>
  <c r="V30" i="16"/>
  <c r="M30" i="5"/>
  <c r="V30" i="5"/>
  <c r="AJ30" i="5" s="1"/>
  <c r="M31" i="11"/>
  <c r="V31" i="11"/>
  <c r="AJ31" i="11" s="1"/>
  <c r="U31" i="17"/>
  <c r="AI30" i="17"/>
  <c r="M30" i="14"/>
  <c r="V30" i="14"/>
  <c r="AJ30" i="14" s="1"/>
  <c r="M30" i="18"/>
  <c r="V30" i="18"/>
  <c r="AJ30" i="18" s="1"/>
  <c r="M31" i="19"/>
  <c r="V31" i="19"/>
  <c r="AJ31" i="19" s="1"/>
  <c r="U31" i="13"/>
  <c r="AI30" i="13"/>
  <c r="M31" i="13"/>
  <c r="V31" i="13"/>
  <c r="M31" i="15"/>
  <c r="V31" i="15"/>
  <c r="AJ31" i="15" s="1"/>
  <c r="M31" i="12"/>
  <c r="V31" i="12"/>
  <c r="AJ31" i="12" s="1"/>
  <c r="M31" i="4"/>
  <c r="V31" i="4"/>
  <c r="AJ31" i="4" s="1"/>
  <c r="M31" i="17"/>
  <c r="V31" i="17"/>
  <c r="M30" i="20"/>
  <c r="V30" i="20"/>
  <c r="AJ30" i="20" s="1"/>
  <c r="AI30" i="16"/>
  <c r="A31" i="9"/>
  <c r="C32" i="9"/>
  <c r="D30" i="9"/>
  <c r="AE30" i="9" s="1"/>
  <c r="A32" i="19"/>
  <c r="C33" i="19"/>
  <c r="D30" i="22"/>
  <c r="AE30" i="22" s="1"/>
  <c r="A32" i="10"/>
  <c r="C33" i="10"/>
  <c r="D30" i="14"/>
  <c r="AE30" i="14" s="1"/>
  <c r="AD32" i="10"/>
  <c r="AD31" i="11"/>
  <c r="A31" i="16"/>
  <c r="C32" i="16"/>
  <c r="AD30" i="17"/>
  <c r="AD31" i="16"/>
  <c r="AD30" i="4"/>
  <c r="AI30" i="18"/>
  <c r="AD30" i="23"/>
  <c r="D31" i="12"/>
  <c r="AE31" i="12" s="1"/>
  <c r="AD30" i="13"/>
  <c r="A31" i="14"/>
  <c r="C32" i="14"/>
  <c r="AI31" i="8"/>
  <c r="AD30" i="6"/>
  <c r="AI31" i="4"/>
  <c r="C34" i="8"/>
  <c r="A33" i="8"/>
  <c r="AD31" i="12"/>
  <c r="D30" i="18"/>
  <c r="AE30" i="18" s="1"/>
  <c r="AI30" i="20"/>
  <c r="A32" i="23"/>
  <c r="C33" i="23"/>
  <c r="C32" i="7"/>
  <c r="A31" i="7"/>
  <c r="D32" i="8"/>
  <c r="AE32" i="8" s="1"/>
  <c r="D31" i="21"/>
  <c r="AE31" i="21" s="1"/>
  <c r="AJ31" i="21"/>
  <c r="C32" i="18"/>
  <c r="A31" i="18"/>
  <c r="D31" i="11"/>
  <c r="AE31" i="11" s="1"/>
  <c r="AI32" i="14"/>
  <c r="AD30" i="14"/>
  <c r="AI30" i="22"/>
  <c r="AI30" i="7"/>
  <c r="D31" i="23"/>
  <c r="AE31" i="23" s="1"/>
  <c r="AJ30" i="7"/>
  <c r="D30" i="7"/>
  <c r="AE30" i="7" s="1"/>
  <c r="AD31" i="22"/>
  <c r="A32" i="21"/>
  <c r="C33" i="21"/>
  <c r="AI30" i="10"/>
  <c r="A32" i="11"/>
  <c r="C33" i="11"/>
  <c r="D31" i="10"/>
  <c r="AE31" i="10" s="1"/>
  <c r="AJ31" i="10"/>
  <c r="D31" i="15"/>
  <c r="AE31" i="15" s="1"/>
  <c r="AD32" i="20"/>
  <c r="AI31" i="11"/>
  <c r="C33" i="15"/>
  <c r="A32" i="15"/>
  <c r="C33" i="17"/>
  <c r="A32" i="17"/>
  <c r="AI31" i="21"/>
  <c r="AD31" i="18"/>
  <c r="C33" i="13"/>
  <c r="A32" i="13"/>
  <c r="AI30" i="5"/>
  <c r="AD30" i="5"/>
  <c r="C32" i="5"/>
  <c r="A31" i="5"/>
  <c r="AI31" i="9"/>
  <c r="D30" i="20"/>
  <c r="AE30" i="20" s="1"/>
  <c r="D30" i="16"/>
  <c r="AE30" i="16" s="1"/>
  <c r="AJ30" i="16"/>
  <c r="AJ31" i="13"/>
  <c r="D31" i="13"/>
  <c r="AE31" i="13" s="1"/>
  <c r="D30" i="5"/>
  <c r="AE30" i="5" s="1"/>
  <c r="AI31" i="19"/>
  <c r="A31" i="20"/>
  <c r="C32" i="20"/>
  <c r="AD30" i="19"/>
  <c r="A32" i="6"/>
  <c r="C33" i="6"/>
  <c r="AI31" i="15"/>
  <c r="AI30" i="23"/>
  <c r="C33" i="4"/>
  <c r="A32" i="4"/>
  <c r="AD30" i="7"/>
  <c r="AI30" i="12"/>
  <c r="AJ31" i="17"/>
  <c r="D31" i="17"/>
  <c r="AE31" i="17" s="1"/>
  <c r="D31" i="4"/>
  <c r="AE31" i="4" s="1"/>
  <c r="C33" i="12"/>
  <c r="A32" i="12"/>
  <c r="AD30" i="9"/>
  <c r="AD30" i="8"/>
  <c r="AJ31" i="6"/>
  <c r="D31" i="6"/>
  <c r="AE31" i="6" s="1"/>
  <c r="AD31" i="21"/>
  <c r="AI31" i="6"/>
  <c r="AD30" i="15"/>
  <c r="D31" i="19"/>
  <c r="AE31" i="19" s="1"/>
  <c r="C32" i="22"/>
  <c r="A31" i="22"/>
  <c r="L32" i="3"/>
  <c r="AD31" i="3"/>
  <c r="AI31" i="3"/>
  <c r="M31" i="14" l="1"/>
  <c r="V31" i="14"/>
  <c r="AJ31" i="14" s="1"/>
  <c r="M32" i="10"/>
  <c r="V32" i="10"/>
  <c r="AJ32" i="10" s="1"/>
  <c r="U32" i="13"/>
  <c r="AI31" i="13"/>
  <c r="U32" i="17"/>
  <c r="AI31" i="17"/>
  <c r="M32" i="21"/>
  <c r="V32" i="21"/>
  <c r="AJ32" i="21" s="1"/>
  <c r="M31" i="5"/>
  <c r="V31" i="5"/>
  <c r="M32" i="17"/>
  <c r="V32" i="17"/>
  <c r="AJ32" i="17" s="1"/>
  <c r="M31" i="7"/>
  <c r="V31" i="7"/>
  <c r="AJ31" i="7" s="1"/>
  <c r="M31" i="9"/>
  <c r="V31" i="9"/>
  <c r="AJ31" i="9" s="1"/>
  <c r="M33" i="8"/>
  <c r="V33" i="8"/>
  <c r="M31" i="16"/>
  <c r="V31" i="16"/>
  <c r="AJ31" i="16" s="1"/>
  <c r="M32" i="6"/>
  <c r="V32" i="6"/>
  <c r="AJ32" i="6" s="1"/>
  <c r="M32" i="15"/>
  <c r="V32" i="15"/>
  <c r="AJ32" i="15" s="1"/>
  <c r="M31" i="18"/>
  <c r="V31" i="18"/>
  <c r="M32" i="11"/>
  <c r="V32" i="11"/>
  <c r="AJ32" i="11" s="1"/>
  <c r="M32" i="23"/>
  <c r="V32" i="23"/>
  <c r="AJ32" i="23" s="1"/>
  <c r="M32" i="13"/>
  <c r="V32" i="13"/>
  <c r="AJ32" i="13" s="1"/>
  <c r="M32" i="19"/>
  <c r="V32" i="19"/>
  <c r="M31" i="22"/>
  <c r="V31" i="22"/>
  <c r="AJ31" i="22" s="1"/>
  <c r="M32" i="12"/>
  <c r="V32" i="12"/>
  <c r="AJ32" i="12" s="1"/>
  <c r="M32" i="4"/>
  <c r="V32" i="4"/>
  <c r="AJ32" i="4" s="1"/>
  <c r="M31" i="20"/>
  <c r="V31" i="20"/>
  <c r="AJ31" i="20" s="1"/>
  <c r="AI31" i="16"/>
  <c r="C33" i="9"/>
  <c r="A32" i="9"/>
  <c r="D31" i="9"/>
  <c r="AE31" i="9" s="1"/>
  <c r="AI31" i="12"/>
  <c r="A32" i="5"/>
  <c r="C33" i="5"/>
  <c r="AI32" i="11"/>
  <c r="C34" i="6"/>
  <c r="A33" i="6"/>
  <c r="D31" i="7"/>
  <c r="AE31" i="7" s="1"/>
  <c r="AD31" i="4"/>
  <c r="D32" i="6"/>
  <c r="AE32" i="6" s="1"/>
  <c r="AD31" i="5"/>
  <c r="AI32" i="21"/>
  <c r="D32" i="11"/>
  <c r="AE32" i="11" s="1"/>
  <c r="AI33" i="14"/>
  <c r="A32" i="18"/>
  <c r="C33" i="18"/>
  <c r="A32" i="7"/>
  <c r="C33" i="7"/>
  <c r="AD31" i="6"/>
  <c r="D31" i="18"/>
  <c r="AE31" i="18" s="1"/>
  <c r="AJ31" i="18"/>
  <c r="D32" i="10"/>
  <c r="AE32" i="10" s="1"/>
  <c r="AD31" i="8"/>
  <c r="D32" i="4"/>
  <c r="AE32" i="4" s="1"/>
  <c r="AI31" i="5"/>
  <c r="D32" i="17"/>
  <c r="AE32" i="17" s="1"/>
  <c r="AI31" i="10"/>
  <c r="AI31" i="7"/>
  <c r="C34" i="23"/>
  <c r="A33" i="23"/>
  <c r="AI32" i="4"/>
  <c r="AD32" i="11"/>
  <c r="AD31" i="7"/>
  <c r="AD31" i="15"/>
  <c r="C34" i="4"/>
  <c r="A33" i="4"/>
  <c r="AD31" i="19"/>
  <c r="A33" i="17"/>
  <c r="C34" i="17"/>
  <c r="D32" i="23"/>
  <c r="AE32" i="23" s="1"/>
  <c r="AD32" i="12"/>
  <c r="AI32" i="8"/>
  <c r="AD32" i="16"/>
  <c r="AD33" i="10"/>
  <c r="D31" i="22"/>
  <c r="AE31" i="22" s="1"/>
  <c r="D32" i="15"/>
  <c r="AE32" i="15" s="1"/>
  <c r="AD31" i="23"/>
  <c r="AI32" i="15"/>
  <c r="AD32" i="22"/>
  <c r="AI32" i="6"/>
  <c r="AI31" i="23"/>
  <c r="AI32" i="9"/>
  <c r="AD31" i="17"/>
  <c r="C33" i="22"/>
  <c r="A32" i="22"/>
  <c r="AD32" i="21"/>
  <c r="AD31" i="9"/>
  <c r="D31" i="20"/>
  <c r="AE31" i="20" s="1"/>
  <c r="A33" i="13"/>
  <c r="C34" i="13"/>
  <c r="C34" i="15"/>
  <c r="A33" i="15"/>
  <c r="AI31" i="22"/>
  <c r="AI31" i="20"/>
  <c r="AJ33" i="8"/>
  <c r="D33" i="8"/>
  <c r="AE33" i="8" s="1"/>
  <c r="C33" i="14"/>
  <c r="A32" i="14"/>
  <c r="A33" i="12"/>
  <c r="C34" i="12"/>
  <c r="D32" i="21"/>
  <c r="AE32" i="21" s="1"/>
  <c r="AD33" i="20"/>
  <c r="C34" i="11"/>
  <c r="A33" i="11"/>
  <c r="C33" i="20"/>
  <c r="A32" i="20"/>
  <c r="D32" i="13"/>
  <c r="AE32" i="13" s="1"/>
  <c r="D32" i="12"/>
  <c r="AE32" i="12" s="1"/>
  <c r="AI32" i="19"/>
  <c r="AJ31" i="5"/>
  <c r="D31" i="5"/>
  <c r="AE31" i="5" s="1"/>
  <c r="AD32" i="18"/>
  <c r="C34" i="21"/>
  <c r="A33" i="21"/>
  <c r="AD31" i="14"/>
  <c r="C35" i="8"/>
  <c r="A34" i="8"/>
  <c r="D31" i="14"/>
  <c r="AE31" i="14" s="1"/>
  <c r="C33" i="16"/>
  <c r="A32" i="16"/>
  <c r="A33" i="19"/>
  <c r="C34" i="19"/>
  <c r="AD31" i="13"/>
  <c r="AI31" i="18"/>
  <c r="D31" i="16"/>
  <c r="AE31" i="16" s="1"/>
  <c r="C34" i="10"/>
  <c r="A33" i="10"/>
  <c r="D32" i="19"/>
  <c r="AE32" i="19" s="1"/>
  <c r="AJ32" i="19"/>
  <c r="L33" i="3"/>
  <c r="AD32" i="3"/>
  <c r="AI32" i="3"/>
  <c r="M33" i="6" l="1"/>
  <c r="V33" i="6"/>
  <c r="M32" i="9"/>
  <c r="V32" i="9"/>
  <c r="AJ32" i="9" s="1"/>
  <c r="U33" i="17"/>
  <c r="AI32" i="17"/>
  <c r="M33" i="15"/>
  <c r="V33" i="15"/>
  <c r="AJ33" i="15" s="1"/>
  <c r="M33" i="11"/>
  <c r="V33" i="11"/>
  <c r="M32" i="14"/>
  <c r="V32" i="14"/>
  <c r="AJ32" i="14" s="1"/>
  <c r="M34" i="8"/>
  <c r="V34" i="8"/>
  <c r="AJ34" i="8" s="1"/>
  <c r="M33" i="13"/>
  <c r="V33" i="13"/>
  <c r="AJ33" i="13" s="1"/>
  <c r="U33" i="13"/>
  <c r="AI32" i="13"/>
  <c r="M32" i="22"/>
  <c r="V32" i="22"/>
  <c r="AJ32" i="22" s="1"/>
  <c r="M33" i="17"/>
  <c r="V33" i="17"/>
  <c r="AJ33" i="17" s="1"/>
  <c r="M33" i="23"/>
  <c r="V33" i="23"/>
  <c r="AJ33" i="23" s="1"/>
  <c r="M32" i="7"/>
  <c r="V32" i="7"/>
  <c r="M33" i="12"/>
  <c r="V33" i="12"/>
  <c r="AJ33" i="12" s="1"/>
  <c r="M32" i="5"/>
  <c r="V32" i="5"/>
  <c r="AJ32" i="5" s="1"/>
  <c r="M32" i="20"/>
  <c r="V32" i="20"/>
  <c r="AJ32" i="20" s="1"/>
  <c r="M33" i="10"/>
  <c r="V33" i="10"/>
  <c r="M33" i="19"/>
  <c r="V33" i="19"/>
  <c r="AJ33" i="19" s="1"/>
  <c r="M33" i="21"/>
  <c r="V33" i="21"/>
  <c r="AJ33" i="21" s="1"/>
  <c r="M33" i="4"/>
  <c r="V33" i="4"/>
  <c r="AJ33" i="4" s="1"/>
  <c r="M32" i="18"/>
  <c r="V32" i="18"/>
  <c r="M32" i="16"/>
  <c r="V32" i="16"/>
  <c r="AJ32" i="16" s="1"/>
  <c r="AI32" i="16"/>
  <c r="D32" i="9"/>
  <c r="AE32" i="9" s="1"/>
  <c r="A33" i="9"/>
  <c r="C34" i="9"/>
  <c r="C35" i="15"/>
  <c r="A34" i="15"/>
  <c r="AD34" i="10"/>
  <c r="AJ33" i="6"/>
  <c r="D33" i="6"/>
  <c r="AE33" i="6" s="1"/>
  <c r="AJ33" i="11"/>
  <c r="D33" i="11"/>
  <c r="AE33" i="11" s="1"/>
  <c r="D33" i="12"/>
  <c r="AE33" i="12" s="1"/>
  <c r="A34" i="13"/>
  <c r="C35" i="13"/>
  <c r="AD33" i="21"/>
  <c r="AI32" i="23"/>
  <c r="AD32" i="23"/>
  <c r="D33" i="4"/>
  <c r="AE33" i="4" s="1"/>
  <c r="AD32" i="8"/>
  <c r="AD32" i="6"/>
  <c r="C35" i="6"/>
  <c r="A34" i="6"/>
  <c r="C35" i="21"/>
  <c r="A34" i="21"/>
  <c r="AI33" i="15"/>
  <c r="C35" i="10"/>
  <c r="A34" i="10"/>
  <c r="C34" i="20"/>
  <c r="A33" i="20"/>
  <c r="C35" i="19"/>
  <c r="A34" i="19"/>
  <c r="A35" i="8"/>
  <c r="C36" i="8"/>
  <c r="C35" i="11"/>
  <c r="A34" i="11"/>
  <c r="AI32" i="20"/>
  <c r="D33" i="13"/>
  <c r="AE33" i="13" s="1"/>
  <c r="D32" i="22"/>
  <c r="AE32" i="22" s="1"/>
  <c r="AI33" i="6"/>
  <c r="AD33" i="16"/>
  <c r="A34" i="4"/>
  <c r="C35" i="4"/>
  <c r="AI33" i="4"/>
  <c r="C35" i="12"/>
  <c r="A34" i="12"/>
  <c r="D33" i="19"/>
  <c r="AE33" i="19" s="1"/>
  <c r="AD34" i="20"/>
  <c r="AI32" i="22"/>
  <c r="A33" i="22"/>
  <c r="C34" i="22"/>
  <c r="AD32" i="15"/>
  <c r="D33" i="23"/>
  <c r="AE33" i="23" s="1"/>
  <c r="A33" i="7"/>
  <c r="C34" i="7"/>
  <c r="AI33" i="11"/>
  <c r="D34" i="8"/>
  <c r="AE34" i="8" s="1"/>
  <c r="D32" i="16"/>
  <c r="AE32" i="16" s="1"/>
  <c r="AD32" i="14"/>
  <c r="D32" i="14"/>
  <c r="AE32" i="14" s="1"/>
  <c r="AD32" i="17"/>
  <c r="AD33" i="22"/>
  <c r="A34" i="23"/>
  <c r="C35" i="23"/>
  <c r="AJ32" i="7"/>
  <c r="D32" i="7"/>
  <c r="AE32" i="7" s="1"/>
  <c r="AD32" i="4"/>
  <c r="A33" i="5"/>
  <c r="C34" i="5"/>
  <c r="AD32" i="13"/>
  <c r="AD33" i="11"/>
  <c r="AI32" i="10"/>
  <c r="AI34" i="14"/>
  <c r="AI32" i="18"/>
  <c r="C34" i="16"/>
  <c r="A33" i="16"/>
  <c r="D33" i="21"/>
  <c r="AE33" i="21" s="1"/>
  <c r="AI33" i="19"/>
  <c r="C34" i="14"/>
  <c r="A33" i="14"/>
  <c r="AI33" i="8"/>
  <c r="A34" i="17"/>
  <c r="C35" i="17"/>
  <c r="AD32" i="7"/>
  <c r="AI32" i="5"/>
  <c r="A33" i="18"/>
  <c r="C34" i="18"/>
  <c r="AI33" i="21"/>
  <c r="D32" i="5"/>
  <c r="AE32" i="5" s="1"/>
  <c r="AD33" i="12"/>
  <c r="D33" i="17"/>
  <c r="AE33" i="17" s="1"/>
  <c r="AI32" i="7"/>
  <c r="D32" i="18"/>
  <c r="AE32" i="18" s="1"/>
  <c r="AJ32" i="18"/>
  <c r="AD32" i="5"/>
  <c r="AI32" i="12"/>
  <c r="AJ33" i="10"/>
  <c r="D33" i="10"/>
  <c r="AE33" i="10" s="1"/>
  <c r="AD33" i="18"/>
  <c r="D32" i="20"/>
  <c r="AE32" i="20" s="1"/>
  <c r="D33" i="15"/>
  <c r="AE33" i="15" s="1"/>
  <c r="AD32" i="9"/>
  <c r="AI33" i="9"/>
  <c r="AD32" i="19"/>
  <c r="L34" i="3"/>
  <c r="AD33" i="3"/>
  <c r="AI33" i="3"/>
  <c r="M33" i="18" l="1"/>
  <c r="V33" i="18"/>
  <c r="AJ33" i="18" s="1"/>
  <c r="M34" i="23"/>
  <c r="V34" i="23"/>
  <c r="AJ34" i="23" s="1"/>
  <c r="M34" i="6"/>
  <c r="V34" i="6"/>
  <c r="AJ34" i="6" s="1"/>
  <c r="M33" i="14"/>
  <c r="V33" i="14"/>
  <c r="AJ33" i="14" s="1"/>
  <c r="M33" i="22"/>
  <c r="V33" i="22"/>
  <c r="AJ33" i="22" s="1"/>
  <c r="M33" i="20"/>
  <c r="V33" i="20"/>
  <c r="AJ33" i="20" s="1"/>
  <c r="U34" i="17"/>
  <c r="AI33" i="17"/>
  <c r="M34" i="21"/>
  <c r="V34" i="21"/>
  <c r="AJ34" i="21" s="1"/>
  <c r="M34" i="13"/>
  <c r="V34" i="13"/>
  <c r="AJ34" i="13" s="1"/>
  <c r="M35" i="8"/>
  <c r="V35" i="8"/>
  <c r="M34" i="12"/>
  <c r="V34" i="12"/>
  <c r="AJ34" i="12" s="1"/>
  <c r="M33" i="5"/>
  <c r="V33" i="5"/>
  <c r="AJ33" i="5" s="1"/>
  <c r="M34" i="4"/>
  <c r="V34" i="4"/>
  <c r="AJ34" i="4" s="1"/>
  <c r="M34" i="11"/>
  <c r="V34" i="11"/>
  <c r="M34" i="10"/>
  <c r="V34" i="10"/>
  <c r="AJ34" i="10" s="1"/>
  <c r="M34" i="15"/>
  <c r="V34" i="15"/>
  <c r="AJ34" i="15" s="1"/>
  <c r="M33" i="9"/>
  <c r="V33" i="9"/>
  <c r="AJ33" i="9" s="1"/>
  <c r="M34" i="19"/>
  <c r="V34" i="19"/>
  <c r="M33" i="16"/>
  <c r="V33" i="16"/>
  <c r="AJ33" i="16" s="1"/>
  <c r="M34" i="17"/>
  <c r="V34" i="17"/>
  <c r="AJ34" i="17" s="1"/>
  <c r="M33" i="7"/>
  <c r="V33" i="7"/>
  <c r="AJ33" i="7" s="1"/>
  <c r="U34" i="13"/>
  <c r="AI33" i="13"/>
  <c r="AI33" i="16"/>
  <c r="C35" i="9"/>
  <c r="A34" i="9"/>
  <c r="D33" i="9"/>
  <c r="AE33" i="9" s="1"/>
  <c r="D33" i="5"/>
  <c r="AE33" i="5" s="1"/>
  <c r="D34" i="13"/>
  <c r="AE34" i="13" s="1"/>
  <c r="D33" i="18"/>
  <c r="AE33" i="18" s="1"/>
  <c r="AI34" i="8"/>
  <c r="AD33" i="4"/>
  <c r="AD33" i="14"/>
  <c r="AI34" i="11"/>
  <c r="AD33" i="15"/>
  <c r="AD35" i="20"/>
  <c r="AI33" i="20"/>
  <c r="A34" i="20"/>
  <c r="C35" i="20"/>
  <c r="A35" i="6"/>
  <c r="C36" i="6"/>
  <c r="AD33" i="23"/>
  <c r="AD34" i="12"/>
  <c r="AI33" i="10"/>
  <c r="A34" i="22"/>
  <c r="C35" i="22"/>
  <c r="AJ34" i="11"/>
  <c r="D34" i="11"/>
  <c r="AE34" i="11" s="1"/>
  <c r="D34" i="10"/>
  <c r="AE34" i="10" s="1"/>
  <c r="AD33" i="9"/>
  <c r="AI33" i="5"/>
  <c r="D33" i="16"/>
  <c r="AE33" i="16" s="1"/>
  <c r="AD34" i="22"/>
  <c r="C35" i="7"/>
  <c r="A34" i="7"/>
  <c r="D33" i="22"/>
  <c r="AE33" i="22" s="1"/>
  <c r="AI34" i="4"/>
  <c r="C36" i="11"/>
  <c r="A35" i="11"/>
  <c r="A35" i="10"/>
  <c r="C36" i="10"/>
  <c r="AD33" i="6"/>
  <c r="AD34" i="18"/>
  <c r="D34" i="6"/>
  <c r="AE34" i="6" s="1"/>
  <c r="AD33" i="19"/>
  <c r="D33" i="14"/>
  <c r="AE33" i="14" s="1"/>
  <c r="A34" i="16"/>
  <c r="C35" i="16"/>
  <c r="AD34" i="11"/>
  <c r="AD33" i="17"/>
  <c r="D33" i="7"/>
  <c r="AE33" i="7" s="1"/>
  <c r="C36" i="4"/>
  <c r="A35" i="4"/>
  <c r="C37" i="8"/>
  <c r="A36" i="8"/>
  <c r="AI34" i="15"/>
  <c r="AI33" i="23"/>
  <c r="AD35" i="10"/>
  <c r="AI33" i="7"/>
  <c r="AD33" i="7"/>
  <c r="A34" i="14"/>
  <c r="C35" i="14"/>
  <c r="AI33" i="22"/>
  <c r="D34" i="12"/>
  <c r="AE34" i="12" s="1"/>
  <c r="D34" i="4"/>
  <c r="AE34" i="4" s="1"/>
  <c r="D35" i="8"/>
  <c r="AE35" i="8" s="1"/>
  <c r="AJ35" i="8"/>
  <c r="AD33" i="8"/>
  <c r="AD34" i="21"/>
  <c r="A34" i="18"/>
  <c r="C35" i="18"/>
  <c r="AI35" i="14"/>
  <c r="D33" i="20"/>
  <c r="AE33" i="20" s="1"/>
  <c r="AI33" i="12"/>
  <c r="AI34" i="21"/>
  <c r="C36" i="17"/>
  <c r="A35" i="17"/>
  <c r="AI33" i="18"/>
  <c r="AD33" i="13"/>
  <c r="A35" i="23"/>
  <c r="C36" i="23"/>
  <c r="C36" i="12"/>
  <c r="A35" i="12"/>
  <c r="AD34" i="16"/>
  <c r="AJ34" i="19"/>
  <c r="D34" i="19"/>
  <c r="AE34" i="19" s="1"/>
  <c r="D34" i="21"/>
  <c r="AE34" i="21" s="1"/>
  <c r="D34" i="15"/>
  <c r="AE34" i="15" s="1"/>
  <c r="AI34" i="6"/>
  <c r="AI34" i="9"/>
  <c r="AD33" i="5"/>
  <c r="D34" i="17"/>
  <c r="AE34" i="17" s="1"/>
  <c r="AI34" i="19"/>
  <c r="C35" i="5"/>
  <c r="A34" i="5"/>
  <c r="D34" i="23"/>
  <c r="AE34" i="23" s="1"/>
  <c r="A35" i="19"/>
  <c r="C36" i="19"/>
  <c r="A35" i="21"/>
  <c r="C36" i="21"/>
  <c r="C36" i="13"/>
  <c r="A35" i="13"/>
  <c r="A35" i="15"/>
  <c r="C36" i="15"/>
  <c r="L35" i="3"/>
  <c r="AD34" i="3"/>
  <c r="AI34" i="3"/>
  <c r="M34" i="14" l="1"/>
  <c r="V34" i="14"/>
  <c r="M35" i="23"/>
  <c r="V35" i="23"/>
  <c r="AJ35" i="23" s="1"/>
  <c r="M35" i="11"/>
  <c r="V35" i="11"/>
  <c r="AJ35" i="11" s="1"/>
  <c r="M34" i="20"/>
  <c r="V34" i="20"/>
  <c r="AJ34" i="20" s="1"/>
  <c r="M34" i="9"/>
  <c r="V34" i="9"/>
  <c r="M35" i="4"/>
  <c r="V35" i="4"/>
  <c r="AJ35" i="4" s="1"/>
  <c r="M35" i="21"/>
  <c r="V35" i="21"/>
  <c r="AJ35" i="21" s="1"/>
  <c r="M34" i="22"/>
  <c r="V34" i="22"/>
  <c r="AJ34" i="22" s="1"/>
  <c r="U35" i="17"/>
  <c r="AI34" i="17"/>
  <c r="M35" i="17"/>
  <c r="V35" i="17"/>
  <c r="AJ35" i="17" s="1"/>
  <c r="M34" i="18"/>
  <c r="V34" i="18"/>
  <c r="AJ34" i="18" s="1"/>
  <c r="U35" i="13"/>
  <c r="AI34" i="13"/>
  <c r="M35" i="10"/>
  <c r="V35" i="10"/>
  <c r="M35" i="19"/>
  <c r="V35" i="19"/>
  <c r="AJ35" i="19" s="1"/>
  <c r="M35" i="13"/>
  <c r="V35" i="13"/>
  <c r="AJ35" i="13" s="1"/>
  <c r="M35" i="12"/>
  <c r="V35" i="12"/>
  <c r="AJ35" i="12" s="1"/>
  <c r="M36" i="8"/>
  <c r="V36" i="8"/>
  <c r="M34" i="7"/>
  <c r="V34" i="7"/>
  <c r="AJ34" i="7" s="1"/>
  <c r="M35" i="15"/>
  <c r="V35" i="15"/>
  <c r="AJ35" i="15" s="1"/>
  <c r="M34" i="5"/>
  <c r="V34" i="5"/>
  <c r="AJ34" i="5" s="1"/>
  <c r="M34" i="16"/>
  <c r="V34" i="16"/>
  <c r="M35" i="6"/>
  <c r="V35" i="6"/>
  <c r="AJ35" i="6" s="1"/>
  <c r="AI34" i="16"/>
  <c r="D34" i="9"/>
  <c r="AE34" i="9" s="1"/>
  <c r="AJ34" i="9"/>
  <c r="C36" i="9"/>
  <c r="A35" i="9"/>
  <c r="AD34" i="9"/>
  <c r="D34" i="22"/>
  <c r="AE34" i="22" s="1"/>
  <c r="AD34" i="23"/>
  <c r="AD36" i="20"/>
  <c r="A36" i="19"/>
  <c r="C37" i="19"/>
  <c r="A35" i="5"/>
  <c r="C36" i="5"/>
  <c r="AI35" i="9"/>
  <c r="A36" i="12"/>
  <c r="C37" i="12"/>
  <c r="A36" i="17"/>
  <c r="C37" i="17"/>
  <c r="AD34" i="7"/>
  <c r="AD34" i="17"/>
  <c r="AI34" i="10"/>
  <c r="C37" i="21"/>
  <c r="A36" i="21"/>
  <c r="AD34" i="5"/>
  <c r="AI35" i="15"/>
  <c r="D35" i="19"/>
  <c r="AE35" i="19" s="1"/>
  <c r="C37" i="23"/>
  <c r="A36" i="23"/>
  <c r="AJ36" i="8"/>
  <c r="D36" i="8"/>
  <c r="AE36" i="8" s="1"/>
  <c r="AD34" i="6"/>
  <c r="C37" i="6"/>
  <c r="A36" i="6"/>
  <c r="AD34" i="4"/>
  <c r="AI34" i="18"/>
  <c r="AD35" i="21"/>
  <c r="AJ34" i="14"/>
  <c r="D34" i="14"/>
  <c r="AE34" i="14" s="1"/>
  <c r="AD35" i="18"/>
  <c r="C36" i="22"/>
  <c r="A35" i="22"/>
  <c r="D35" i="12"/>
  <c r="AE35" i="12" s="1"/>
  <c r="C37" i="15"/>
  <c r="A36" i="15"/>
  <c r="AI35" i="19"/>
  <c r="D35" i="23"/>
  <c r="AE35" i="23" s="1"/>
  <c r="AI35" i="21"/>
  <c r="AI36" i="14"/>
  <c r="C38" i="8"/>
  <c r="A37" i="8"/>
  <c r="AD35" i="11"/>
  <c r="AD34" i="19"/>
  <c r="C37" i="10"/>
  <c r="A36" i="10"/>
  <c r="D35" i="6"/>
  <c r="AE35" i="6" s="1"/>
  <c r="AD34" i="15"/>
  <c r="AD35" i="16"/>
  <c r="D35" i="21"/>
  <c r="AE35" i="21" s="1"/>
  <c r="AD34" i="8"/>
  <c r="AI34" i="7"/>
  <c r="D35" i="15"/>
  <c r="AE35" i="15" s="1"/>
  <c r="AI35" i="6"/>
  <c r="AD34" i="13"/>
  <c r="AI34" i="12"/>
  <c r="D35" i="4"/>
  <c r="AE35" i="4" s="1"/>
  <c r="AJ35" i="10"/>
  <c r="D35" i="10"/>
  <c r="AE35" i="10" s="1"/>
  <c r="D34" i="7"/>
  <c r="AE34" i="7" s="1"/>
  <c r="C36" i="20"/>
  <c r="A35" i="20"/>
  <c r="AI35" i="11"/>
  <c r="AI34" i="20"/>
  <c r="D34" i="5"/>
  <c r="AE34" i="5" s="1"/>
  <c r="D35" i="17"/>
  <c r="AE35" i="17" s="1"/>
  <c r="AI35" i="4"/>
  <c r="D35" i="13"/>
  <c r="AE35" i="13" s="1"/>
  <c r="A35" i="18"/>
  <c r="C36" i="18"/>
  <c r="AI34" i="22"/>
  <c r="AD36" i="10"/>
  <c r="C37" i="4"/>
  <c r="A36" i="4"/>
  <c r="C36" i="16"/>
  <c r="A35" i="16"/>
  <c r="D35" i="11"/>
  <c r="AE35" i="11" s="1"/>
  <c r="A35" i="7"/>
  <c r="C36" i="7"/>
  <c r="AI34" i="5"/>
  <c r="D34" i="20"/>
  <c r="AE34" i="20" s="1"/>
  <c r="AI35" i="8"/>
  <c r="C37" i="13"/>
  <c r="A36" i="13"/>
  <c r="D34" i="18"/>
  <c r="AE34" i="18" s="1"/>
  <c r="C36" i="14"/>
  <c r="A35" i="14"/>
  <c r="AI34" i="23"/>
  <c r="AJ34" i="16"/>
  <c r="D34" i="16"/>
  <c r="AE34" i="16" s="1"/>
  <c r="C37" i="11"/>
  <c r="A36" i="11"/>
  <c r="AD35" i="22"/>
  <c r="AD35" i="12"/>
  <c r="AD34" i="14"/>
  <c r="L36" i="3"/>
  <c r="AD35" i="3"/>
  <c r="AI35" i="3"/>
  <c r="M36" i="11" l="1"/>
  <c r="V36" i="11"/>
  <c r="AJ36" i="11" s="1"/>
  <c r="M35" i="18"/>
  <c r="V35" i="18"/>
  <c r="AJ35" i="18" s="1"/>
  <c r="M36" i="10"/>
  <c r="V36" i="10"/>
  <c r="AJ36" i="10" s="1"/>
  <c r="M35" i="22"/>
  <c r="V35" i="22"/>
  <c r="AJ35" i="22" s="1"/>
  <c r="M36" i="6"/>
  <c r="V36" i="6"/>
  <c r="M36" i="19"/>
  <c r="V36" i="19"/>
  <c r="U36" i="13"/>
  <c r="AI35" i="13"/>
  <c r="M36" i="17"/>
  <c r="V36" i="17"/>
  <c r="AJ36" i="17" s="1"/>
  <c r="M35" i="7"/>
  <c r="V35" i="7"/>
  <c r="M36" i="4"/>
  <c r="V36" i="4"/>
  <c r="M36" i="21"/>
  <c r="V36" i="21"/>
  <c r="AJ36" i="21" s="1"/>
  <c r="M36" i="12"/>
  <c r="V36" i="12"/>
  <c r="AJ36" i="12" s="1"/>
  <c r="M36" i="13"/>
  <c r="V36" i="13"/>
  <c r="AJ36" i="13" s="1"/>
  <c r="M35" i="14"/>
  <c r="V35" i="14"/>
  <c r="AJ35" i="14" s="1"/>
  <c r="M35" i="20"/>
  <c r="V35" i="20"/>
  <c r="AJ35" i="20" s="1"/>
  <c r="M37" i="8"/>
  <c r="V37" i="8"/>
  <c r="AJ37" i="8" s="1"/>
  <c r="M36" i="15"/>
  <c r="V36" i="15"/>
  <c r="M35" i="16"/>
  <c r="V35" i="16"/>
  <c r="AJ35" i="16" s="1"/>
  <c r="M36" i="23"/>
  <c r="V36" i="23"/>
  <c r="AJ36" i="23" s="1"/>
  <c r="M35" i="5"/>
  <c r="V35" i="5"/>
  <c r="AJ35" i="5" s="1"/>
  <c r="M35" i="9"/>
  <c r="V35" i="9"/>
  <c r="AJ35" i="9" s="1"/>
  <c r="U36" i="17"/>
  <c r="AI35" i="17"/>
  <c r="AI35" i="16"/>
  <c r="D35" i="9"/>
  <c r="AE35" i="9" s="1"/>
  <c r="A36" i="9"/>
  <c r="C37" i="9"/>
  <c r="D35" i="7"/>
  <c r="AE35" i="7" s="1"/>
  <c r="AJ35" i="7"/>
  <c r="AD37" i="10"/>
  <c r="A36" i="20"/>
  <c r="C37" i="20"/>
  <c r="AD36" i="18"/>
  <c r="D36" i="11"/>
  <c r="AE36" i="11" s="1"/>
  <c r="A36" i="14"/>
  <c r="C37" i="14"/>
  <c r="AI35" i="22"/>
  <c r="AI35" i="20"/>
  <c r="A37" i="15"/>
  <c r="C38" i="15"/>
  <c r="AD35" i="4"/>
  <c r="D36" i="23"/>
  <c r="AE36" i="23" s="1"/>
  <c r="AD35" i="23"/>
  <c r="AI35" i="23"/>
  <c r="D35" i="14"/>
  <c r="AE35" i="14" s="1"/>
  <c r="AD36" i="11"/>
  <c r="AJ36" i="6"/>
  <c r="D36" i="6"/>
  <c r="AE36" i="6" s="1"/>
  <c r="A37" i="23"/>
  <c r="C38" i="23"/>
  <c r="D36" i="21"/>
  <c r="AE36" i="21" s="1"/>
  <c r="AD35" i="7"/>
  <c r="A36" i="5"/>
  <c r="C37" i="5"/>
  <c r="AI35" i="10"/>
  <c r="AI36" i="9"/>
  <c r="C38" i="11"/>
  <c r="A37" i="11"/>
  <c r="D35" i="16"/>
  <c r="AE35" i="16" s="1"/>
  <c r="C37" i="18"/>
  <c r="A36" i="18"/>
  <c r="AI35" i="12"/>
  <c r="AD36" i="16"/>
  <c r="D37" i="8"/>
  <c r="AE37" i="8" s="1"/>
  <c r="A37" i="6"/>
  <c r="C38" i="6"/>
  <c r="A37" i="21"/>
  <c r="C38" i="21"/>
  <c r="D35" i="5"/>
  <c r="AE35" i="5" s="1"/>
  <c r="D36" i="12"/>
  <c r="AE36" i="12" s="1"/>
  <c r="AI36" i="8"/>
  <c r="AJ36" i="15"/>
  <c r="D36" i="15"/>
  <c r="AE36" i="15" s="1"/>
  <c r="AD35" i="17"/>
  <c r="AD35" i="14"/>
  <c r="D35" i="18"/>
  <c r="AE35" i="18" s="1"/>
  <c r="AI35" i="7"/>
  <c r="A38" i="8"/>
  <c r="E39" i="8"/>
  <c r="F39" i="8"/>
  <c r="J39" i="8"/>
  <c r="J43" i="8" s="1"/>
  <c r="I39" i="8"/>
  <c r="I43" i="8" s="1"/>
  <c r="H39" i="8"/>
  <c r="H43" i="8" s="1"/>
  <c r="AD35" i="6"/>
  <c r="C38" i="17"/>
  <c r="A37" i="17"/>
  <c r="C38" i="19"/>
  <c r="A37" i="19"/>
  <c r="A36" i="16"/>
  <c r="C37" i="16"/>
  <c r="AD36" i="12"/>
  <c r="D36" i="13"/>
  <c r="AE36" i="13" s="1"/>
  <c r="AI35" i="5"/>
  <c r="D36" i="4"/>
  <c r="AE36" i="4" s="1"/>
  <c r="AJ36" i="4"/>
  <c r="AI36" i="11"/>
  <c r="AD35" i="13"/>
  <c r="D36" i="10"/>
  <c r="AE36" i="10" s="1"/>
  <c r="AI36" i="19"/>
  <c r="D35" i="22"/>
  <c r="AE35" i="22" s="1"/>
  <c r="AD36" i="21"/>
  <c r="D36" i="17"/>
  <c r="AE36" i="17" s="1"/>
  <c r="AJ36" i="19"/>
  <c r="D36" i="19"/>
  <c r="AE36" i="19" s="1"/>
  <c r="AD36" i="22"/>
  <c r="AD35" i="19"/>
  <c r="AI35" i="18"/>
  <c r="AI36" i="4"/>
  <c r="AI36" i="6"/>
  <c r="AI36" i="21"/>
  <c r="AD35" i="5"/>
  <c r="C38" i="13"/>
  <c r="A37" i="13"/>
  <c r="A36" i="7"/>
  <c r="C37" i="7"/>
  <c r="C38" i="4"/>
  <c r="A37" i="4"/>
  <c r="D35" i="20"/>
  <c r="AE35" i="20" s="1"/>
  <c r="AD35" i="8"/>
  <c r="AD35" i="15"/>
  <c r="A37" i="10"/>
  <c r="C38" i="10"/>
  <c r="AI37" i="14"/>
  <c r="A36" i="22"/>
  <c r="C37" i="22"/>
  <c r="AI36" i="15"/>
  <c r="A37" i="12"/>
  <c r="C38" i="12"/>
  <c r="AD37" i="20"/>
  <c r="AD35" i="9"/>
  <c r="L37" i="3"/>
  <c r="AD36" i="3"/>
  <c r="AI36" i="3"/>
  <c r="M36" i="5" l="1"/>
  <c r="V36" i="5"/>
  <c r="M36" i="9"/>
  <c r="V36" i="9"/>
  <c r="M37" i="15"/>
  <c r="V37" i="15"/>
  <c r="AJ37" i="15" s="1"/>
  <c r="M37" i="10"/>
  <c r="V37" i="10"/>
  <c r="AJ37" i="10" s="1"/>
  <c r="M36" i="7"/>
  <c r="V36" i="7"/>
  <c r="M37" i="17"/>
  <c r="V37" i="17"/>
  <c r="AJ37" i="17" s="1"/>
  <c r="M38" i="8"/>
  <c r="V38" i="8"/>
  <c r="AJ38" i="8" s="1"/>
  <c r="M37" i="6"/>
  <c r="V37" i="6"/>
  <c r="AJ37" i="6" s="1"/>
  <c r="M37" i="11"/>
  <c r="V37" i="11"/>
  <c r="M37" i="12"/>
  <c r="V37" i="12"/>
  <c r="AJ37" i="12" s="1"/>
  <c r="M36" i="20"/>
  <c r="V36" i="20"/>
  <c r="AJ36" i="20" s="1"/>
  <c r="U37" i="13"/>
  <c r="AI36" i="13"/>
  <c r="M37" i="13"/>
  <c r="V37" i="13"/>
  <c r="M37" i="23"/>
  <c r="V37" i="23"/>
  <c r="AJ37" i="23" s="1"/>
  <c r="U37" i="17"/>
  <c r="AI36" i="17"/>
  <c r="M36" i="22"/>
  <c r="V36" i="22"/>
  <c r="AJ36" i="22" s="1"/>
  <c r="M36" i="16"/>
  <c r="V36" i="16"/>
  <c r="M36" i="18"/>
  <c r="V36" i="18"/>
  <c r="AJ36" i="18" s="1"/>
  <c r="M36" i="14"/>
  <c r="V36" i="14"/>
  <c r="AJ36" i="14" s="1"/>
  <c r="M37" i="4"/>
  <c r="V37" i="4"/>
  <c r="AJ37" i="4" s="1"/>
  <c r="M37" i="19"/>
  <c r="V37" i="19"/>
  <c r="M37" i="21"/>
  <c r="V37" i="21"/>
  <c r="AI36" i="16"/>
  <c r="A37" i="9"/>
  <c r="C38" i="9"/>
  <c r="AJ36" i="9"/>
  <c r="D36" i="9"/>
  <c r="AE36" i="9" s="1"/>
  <c r="D37" i="17"/>
  <c r="AE37" i="17" s="1"/>
  <c r="AD36" i="4"/>
  <c r="D38" i="8"/>
  <c r="AE38" i="8" s="1"/>
  <c r="AD36" i="17"/>
  <c r="D36" i="18"/>
  <c r="AE36" i="18" s="1"/>
  <c r="AI37" i="9"/>
  <c r="AD36" i="7"/>
  <c r="AI36" i="23"/>
  <c r="AD37" i="18"/>
  <c r="A38" i="4"/>
  <c r="F39" i="4"/>
  <c r="J39" i="4"/>
  <c r="J43" i="4" s="1"/>
  <c r="H39" i="4"/>
  <c r="H43" i="4" s="1"/>
  <c r="E39" i="4"/>
  <c r="I39" i="4"/>
  <c r="I43" i="4" s="1"/>
  <c r="AI37" i="21"/>
  <c r="C38" i="18"/>
  <c r="A37" i="18"/>
  <c r="A38" i="15"/>
  <c r="H39" i="15"/>
  <c r="H43" i="15" s="1"/>
  <c r="E39" i="15"/>
  <c r="F39" i="15"/>
  <c r="I39" i="15"/>
  <c r="I43" i="15" s="1"/>
  <c r="J39" i="15"/>
  <c r="J43" i="15" s="1"/>
  <c r="AI36" i="22"/>
  <c r="A37" i="20"/>
  <c r="C38" i="20"/>
  <c r="AI37" i="15"/>
  <c r="AD36" i="15"/>
  <c r="C38" i="7"/>
  <c r="A37" i="7"/>
  <c r="AI37" i="6"/>
  <c r="AI37" i="4"/>
  <c r="AD37" i="12"/>
  <c r="AD36" i="6"/>
  <c r="AI36" i="7"/>
  <c r="AI36" i="10"/>
  <c r="AD37" i="11"/>
  <c r="AD36" i="23"/>
  <c r="D37" i="15"/>
  <c r="AE37" i="15" s="1"/>
  <c r="A37" i="14"/>
  <c r="C38" i="14"/>
  <c r="D36" i="20"/>
  <c r="AE36" i="20" s="1"/>
  <c r="A38" i="12"/>
  <c r="E39" i="12"/>
  <c r="F39" i="12"/>
  <c r="H39" i="12"/>
  <c r="H43" i="12" s="1"/>
  <c r="J39" i="12"/>
  <c r="J43" i="12" s="1"/>
  <c r="I39" i="12"/>
  <c r="I43" i="12" s="1"/>
  <c r="A38" i="10"/>
  <c r="J39" i="10"/>
  <c r="J43" i="10" s="1"/>
  <c r="F39" i="10"/>
  <c r="H39" i="10"/>
  <c r="H43" i="10" s="1"/>
  <c r="I39" i="10"/>
  <c r="I43" i="10" s="1"/>
  <c r="E39" i="10"/>
  <c r="AI36" i="20"/>
  <c r="D37" i="4"/>
  <c r="AE37" i="4" s="1"/>
  <c r="D37" i="6"/>
  <c r="AE37" i="6" s="1"/>
  <c r="AD37" i="22"/>
  <c r="AI37" i="19"/>
  <c r="AD36" i="9"/>
  <c r="C38" i="22"/>
  <c r="A37" i="22"/>
  <c r="AJ36" i="7"/>
  <c r="D36" i="7"/>
  <c r="AE36" i="7" s="1"/>
  <c r="AD37" i="21"/>
  <c r="A37" i="16"/>
  <c r="C38" i="16"/>
  <c r="D36" i="14"/>
  <c r="AE36" i="14" s="1"/>
  <c r="AD38" i="10"/>
  <c r="N39" i="10"/>
  <c r="O39" i="10"/>
  <c r="O43" i="10"/>
  <c r="N43" i="10"/>
  <c r="D37" i="10"/>
  <c r="AE37" i="10" s="1"/>
  <c r="A38" i="17"/>
  <c r="J39" i="17"/>
  <c r="J43" i="17" s="1"/>
  <c r="I39" i="17"/>
  <c r="I43" i="17" s="1"/>
  <c r="E39" i="17"/>
  <c r="H39" i="17"/>
  <c r="H43" i="17" s="1"/>
  <c r="F39" i="17"/>
  <c r="D36" i="22"/>
  <c r="AE36" i="22" s="1"/>
  <c r="AD36" i="8"/>
  <c r="AJ37" i="13"/>
  <c r="D37" i="13"/>
  <c r="AE37" i="13" s="1"/>
  <c r="D36" i="16"/>
  <c r="AE36" i="16" s="1"/>
  <c r="AJ36" i="16"/>
  <c r="AD37" i="16"/>
  <c r="A38" i="23"/>
  <c r="F39" i="23"/>
  <c r="I39" i="23"/>
  <c r="I43" i="23" s="1"/>
  <c r="H39" i="23"/>
  <c r="H43" i="23" s="1"/>
  <c r="E39" i="23"/>
  <c r="J39" i="23"/>
  <c r="J43" i="23" s="1"/>
  <c r="A38" i="6"/>
  <c r="J39" i="6"/>
  <c r="J43" i="6" s="1"/>
  <c r="E39" i="6"/>
  <c r="I39" i="6"/>
  <c r="I43" i="6" s="1"/>
  <c r="F39" i="6"/>
  <c r="H39" i="6"/>
  <c r="H43" i="6" s="1"/>
  <c r="D37" i="12"/>
  <c r="AE37" i="12" s="1"/>
  <c r="AD38" i="20"/>
  <c r="N43" i="20"/>
  <c r="N39" i="20"/>
  <c r="O39" i="20"/>
  <c r="O43" i="20"/>
  <c r="A38" i="13"/>
  <c r="F39" i="13"/>
  <c r="H39" i="13"/>
  <c r="H43" i="13" s="1"/>
  <c r="E39" i="13"/>
  <c r="J39" i="13"/>
  <c r="J43" i="13" s="1"/>
  <c r="I39" i="13"/>
  <c r="I43" i="13" s="1"/>
  <c r="AI36" i="18"/>
  <c r="AI36" i="5"/>
  <c r="D37" i="19"/>
  <c r="AE37" i="19" s="1"/>
  <c r="AJ37" i="19"/>
  <c r="AI37" i="8"/>
  <c r="A38" i="21"/>
  <c r="F39" i="21"/>
  <c r="I39" i="21"/>
  <c r="I43" i="21" s="1"/>
  <c r="H39" i="21"/>
  <c r="H43" i="21" s="1"/>
  <c r="J39" i="21"/>
  <c r="J43" i="21" s="1"/>
  <c r="E39" i="21"/>
  <c r="AJ37" i="11"/>
  <c r="D37" i="11"/>
  <c r="AE37" i="11" s="1"/>
  <c r="A37" i="5"/>
  <c r="C38" i="5"/>
  <c r="D37" i="23"/>
  <c r="AE37" i="23" s="1"/>
  <c r="E43" i="8"/>
  <c r="AI36" i="12"/>
  <c r="AI38" i="14"/>
  <c r="AA39" i="14"/>
  <c r="Z39" i="14"/>
  <c r="AA43" i="14"/>
  <c r="AB39" i="14"/>
  <c r="X39" i="14"/>
  <c r="W43" i="14"/>
  <c r="Z43" i="14"/>
  <c r="W39" i="14"/>
  <c r="AB43" i="14"/>
  <c r="X43" i="14"/>
  <c r="AD36" i="5"/>
  <c r="AD36" i="19"/>
  <c r="AD36" i="13"/>
  <c r="A38" i="19"/>
  <c r="E39" i="19"/>
  <c r="J39" i="19"/>
  <c r="J43" i="19" s="1"/>
  <c r="H39" i="19"/>
  <c r="H43" i="19" s="1"/>
  <c r="I39" i="19"/>
  <c r="I43" i="19" s="1"/>
  <c r="F39" i="19"/>
  <c r="F43" i="8"/>
  <c r="G39" i="8"/>
  <c r="G43" i="8" s="1"/>
  <c r="AD36" i="14"/>
  <c r="D37" i="21"/>
  <c r="AE37" i="21" s="1"/>
  <c r="AJ37" i="21"/>
  <c r="A38" i="11"/>
  <c r="H39" i="11"/>
  <c r="H43" i="11" s="1"/>
  <c r="J39" i="11"/>
  <c r="J43" i="11" s="1"/>
  <c r="F39" i="11"/>
  <c r="E39" i="11"/>
  <c r="I39" i="11"/>
  <c r="I43" i="11" s="1"/>
  <c r="AJ36" i="5"/>
  <c r="D36" i="5"/>
  <c r="AE36" i="5" s="1"/>
  <c r="AI37" i="11"/>
  <c r="L38" i="3"/>
  <c r="AD37" i="3"/>
  <c r="AI37" i="3"/>
  <c r="M38" i="11" l="1"/>
  <c r="V38" i="11"/>
  <c r="M37" i="22"/>
  <c r="V37" i="22"/>
  <c r="AJ37" i="22" s="1"/>
  <c r="M38" i="15"/>
  <c r="V38" i="15"/>
  <c r="AJ38" i="15" s="1"/>
  <c r="U38" i="13"/>
  <c r="AI37" i="13"/>
  <c r="M38" i="6"/>
  <c r="V38" i="6"/>
  <c r="M37" i="14"/>
  <c r="V37" i="14"/>
  <c r="AJ37" i="14" s="1"/>
  <c r="M37" i="20"/>
  <c r="V37" i="20"/>
  <c r="AJ37" i="20" s="1"/>
  <c r="M37" i="18"/>
  <c r="V37" i="18"/>
  <c r="AJ37" i="18" s="1"/>
  <c r="M38" i="4"/>
  <c r="V38" i="4"/>
  <c r="M37" i="9"/>
  <c r="V37" i="9"/>
  <c r="AJ37" i="9" s="1"/>
  <c r="M38" i="13"/>
  <c r="V38" i="13"/>
  <c r="AJ38" i="13" s="1"/>
  <c r="U38" i="17"/>
  <c r="AI37" i="17"/>
  <c r="M38" i="21"/>
  <c r="V38" i="21"/>
  <c r="M38" i="19"/>
  <c r="V38" i="19"/>
  <c r="AJ38" i="19" s="1"/>
  <c r="M38" i="17"/>
  <c r="V38" i="17"/>
  <c r="AJ38" i="17" s="1"/>
  <c r="M37" i="5"/>
  <c r="V37" i="5"/>
  <c r="AJ37" i="5" s="1"/>
  <c r="M37" i="16"/>
  <c r="V37" i="16"/>
  <c r="M37" i="7"/>
  <c r="V37" i="7"/>
  <c r="AJ37" i="7" s="1"/>
  <c r="M38" i="10"/>
  <c r="V38" i="10"/>
  <c r="AJ38" i="10" s="1"/>
  <c r="M38" i="23"/>
  <c r="V38" i="23"/>
  <c r="AJ38" i="23" s="1"/>
  <c r="M38" i="12"/>
  <c r="V38" i="12"/>
  <c r="AJ38" i="12" s="1"/>
  <c r="AI38" i="16"/>
  <c r="AI37" i="16"/>
  <c r="E39" i="9"/>
  <c r="E43" i="9" s="1"/>
  <c r="A38" i="9"/>
  <c r="H39" i="9"/>
  <c r="H43" i="9" s="1"/>
  <c r="F39" i="9"/>
  <c r="J39" i="9"/>
  <c r="J43" i="9" s="1"/>
  <c r="I39" i="9"/>
  <c r="I43" i="9" s="1"/>
  <c r="D37" i="9"/>
  <c r="AE37" i="9" s="1"/>
  <c r="AD37" i="13"/>
  <c r="G39" i="12"/>
  <c r="G43" i="12" s="1"/>
  <c r="F43" i="12"/>
  <c r="G39" i="19"/>
  <c r="G43" i="19" s="1"/>
  <c r="F43" i="19"/>
  <c r="AD37" i="19"/>
  <c r="AI37" i="12"/>
  <c r="P43" i="10"/>
  <c r="P39" i="10"/>
  <c r="R43" i="10"/>
  <c r="G39" i="15"/>
  <c r="G43" i="15" s="1"/>
  <c r="F43" i="15"/>
  <c r="Y43" i="14"/>
  <c r="Y39" i="14"/>
  <c r="AJ38" i="21"/>
  <c r="D38" i="21"/>
  <c r="AE38" i="21" s="1"/>
  <c r="AI37" i="18"/>
  <c r="AG39" i="10"/>
  <c r="G39" i="10"/>
  <c r="G43" i="10" s="1"/>
  <c r="F43" i="10"/>
  <c r="D38" i="12"/>
  <c r="AE38" i="12" s="1"/>
  <c r="AI38" i="4"/>
  <c r="W39" i="4"/>
  <c r="AK39" i="4" s="1"/>
  <c r="AB43" i="4"/>
  <c r="Z43" i="4"/>
  <c r="AA39" i="4"/>
  <c r="X39" i="4"/>
  <c r="AL39" i="4" s="1"/>
  <c r="AB39" i="4"/>
  <c r="Z39" i="4"/>
  <c r="AA43" i="4"/>
  <c r="W43" i="4"/>
  <c r="X43" i="4"/>
  <c r="AI38" i="15"/>
  <c r="X43" i="15"/>
  <c r="Z43" i="15"/>
  <c r="AA43" i="15"/>
  <c r="AB43" i="15"/>
  <c r="AA39" i="15"/>
  <c r="X39" i="15"/>
  <c r="Z39" i="15"/>
  <c r="W39" i="15"/>
  <c r="AK39" i="15" s="1"/>
  <c r="W43" i="15"/>
  <c r="AB39" i="15"/>
  <c r="E43" i="15"/>
  <c r="E43" i="4"/>
  <c r="AI37" i="23"/>
  <c r="A38" i="5"/>
  <c r="H39" i="5"/>
  <c r="H43" i="5" s="1"/>
  <c r="I39" i="5"/>
  <c r="I43" i="5" s="1"/>
  <c r="F39" i="5"/>
  <c r="G43" i="3" s="1"/>
  <c r="E39" i="5"/>
  <c r="J39" i="5"/>
  <c r="J43" i="5" s="1"/>
  <c r="D37" i="5"/>
  <c r="AE37" i="5" s="1"/>
  <c r="AI37" i="5"/>
  <c r="E43" i="11"/>
  <c r="AD37" i="14"/>
  <c r="AD37" i="5"/>
  <c r="P43" i="20"/>
  <c r="P39" i="20"/>
  <c r="R43" i="20"/>
  <c r="G39" i="6"/>
  <c r="G43" i="6" s="1"/>
  <c r="F43" i="6"/>
  <c r="D38" i="17"/>
  <c r="AE38" i="17" s="1"/>
  <c r="AD38" i="22"/>
  <c r="O43" i="22"/>
  <c r="N39" i="22"/>
  <c r="N43" i="22"/>
  <c r="O39" i="22"/>
  <c r="AD37" i="23"/>
  <c r="AD37" i="6"/>
  <c r="A38" i="20"/>
  <c r="F39" i="20"/>
  <c r="E39" i="20"/>
  <c r="I39" i="20"/>
  <c r="I43" i="20" s="1"/>
  <c r="H39" i="20"/>
  <c r="H43" i="20" s="1"/>
  <c r="J39" i="20"/>
  <c r="J43" i="20" s="1"/>
  <c r="AD37" i="17"/>
  <c r="AD37" i="4"/>
  <c r="F43" i="13"/>
  <c r="G39" i="13"/>
  <c r="G43" i="13" s="1"/>
  <c r="E43" i="23"/>
  <c r="AD37" i="8"/>
  <c r="F43" i="11"/>
  <c r="G39" i="11"/>
  <c r="G43" i="11" s="1"/>
  <c r="AI38" i="8"/>
  <c r="W39" i="8"/>
  <c r="AK39" i="8" s="1"/>
  <c r="W43" i="8"/>
  <c r="AK43" i="8" s="1"/>
  <c r="AA43" i="8"/>
  <c r="AB43" i="8"/>
  <c r="X43" i="8"/>
  <c r="AL43" i="8" s="1"/>
  <c r="X39" i="8"/>
  <c r="AB39" i="8"/>
  <c r="AA39" i="8"/>
  <c r="Z39" i="8"/>
  <c r="Z43" i="8"/>
  <c r="G39" i="23"/>
  <c r="G43" i="23" s="1"/>
  <c r="F43" i="23"/>
  <c r="D37" i="22"/>
  <c r="AE37" i="22" s="1"/>
  <c r="D38" i="10"/>
  <c r="AE38" i="10" s="1"/>
  <c r="AI38" i="6"/>
  <c r="W43" i="6"/>
  <c r="Z43" i="6"/>
  <c r="Z39" i="6"/>
  <c r="X43" i="6"/>
  <c r="AA43" i="6"/>
  <c r="X39" i="6"/>
  <c r="W39" i="6"/>
  <c r="AK39" i="6" s="1"/>
  <c r="AA39" i="6"/>
  <c r="AB43" i="6"/>
  <c r="AB39" i="6"/>
  <c r="D37" i="20"/>
  <c r="AE37" i="20" s="1"/>
  <c r="D38" i="15"/>
  <c r="AE38" i="15" s="1"/>
  <c r="AD37" i="7"/>
  <c r="AI38" i="21"/>
  <c r="AA39" i="21"/>
  <c r="AA43" i="21"/>
  <c r="AB43" i="21"/>
  <c r="X43" i="21"/>
  <c r="X39" i="21"/>
  <c r="AL39" i="21" s="1"/>
  <c r="W43" i="21"/>
  <c r="AB39" i="21"/>
  <c r="Z43" i="21"/>
  <c r="Z39" i="21"/>
  <c r="W39" i="21"/>
  <c r="AK39" i="21" s="1"/>
  <c r="G39" i="21"/>
  <c r="G43" i="21" s="1"/>
  <c r="F43" i="21"/>
  <c r="E43" i="12"/>
  <c r="E43" i="19"/>
  <c r="E43" i="21"/>
  <c r="E43" i="6"/>
  <c r="D38" i="23"/>
  <c r="AE38" i="23" s="1"/>
  <c r="A38" i="16"/>
  <c r="H39" i="16"/>
  <c r="H43" i="16" s="1"/>
  <c r="F39" i="16"/>
  <c r="J39" i="16"/>
  <c r="J43" i="16" s="1"/>
  <c r="E39" i="16"/>
  <c r="I39" i="16"/>
  <c r="I43" i="16" s="1"/>
  <c r="A38" i="22"/>
  <c r="E39" i="22"/>
  <c r="I39" i="22"/>
  <c r="I43" i="22" s="1"/>
  <c r="H39" i="22"/>
  <c r="H43" i="22" s="1"/>
  <c r="J39" i="22"/>
  <c r="J43" i="22" s="1"/>
  <c r="F39" i="22"/>
  <c r="AD38" i="11"/>
  <c r="N43" i="11"/>
  <c r="O43" i="11"/>
  <c r="N39" i="11"/>
  <c r="AF39" i="11" s="1"/>
  <c r="O39" i="11"/>
  <c r="AG39" i="11" s="1"/>
  <c r="D37" i="7"/>
  <c r="AE37" i="7" s="1"/>
  <c r="D37" i="18"/>
  <c r="AE37" i="18" s="1"/>
  <c r="G39" i="4"/>
  <c r="G43" i="4" s="1"/>
  <c r="F43" i="4"/>
  <c r="D38" i="13"/>
  <c r="AE38" i="13" s="1"/>
  <c r="AI38" i="19"/>
  <c r="AB39" i="19"/>
  <c r="AA43" i="19"/>
  <c r="W43" i="19"/>
  <c r="X43" i="19"/>
  <c r="AA39" i="19"/>
  <c r="Z39" i="19"/>
  <c r="Z43" i="19"/>
  <c r="AB43" i="19"/>
  <c r="W39" i="19"/>
  <c r="AK39" i="19" s="1"/>
  <c r="X39" i="19"/>
  <c r="AL39" i="19" s="1"/>
  <c r="D38" i="19"/>
  <c r="AE38" i="19" s="1"/>
  <c r="E43" i="13"/>
  <c r="AD38" i="16"/>
  <c r="O43" i="16"/>
  <c r="O39" i="16"/>
  <c r="N39" i="16"/>
  <c r="N43" i="16"/>
  <c r="F43" i="17"/>
  <c r="G39" i="17"/>
  <c r="G43" i="17" s="1"/>
  <c r="AJ37" i="16"/>
  <c r="D37" i="16"/>
  <c r="AE37" i="16" s="1"/>
  <c r="AD37" i="9"/>
  <c r="AI37" i="20"/>
  <c r="A38" i="14"/>
  <c r="I39" i="14"/>
  <c r="I43" i="14" s="1"/>
  <c r="F39" i="14"/>
  <c r="E39" i="14"/>
  <c r="J39" i="14"/>
  <c r="J43" i="14" s="1"/>
  <c r="H39" i="14"/>
  <c r="H43" i="14" s="1"/>
  <c r="AD38" i="12"/>
  <c r="N39" i="12"/>
  <c r="AF39" i="12" s="1"/>
  <c r="O39" i="12"/>
  <c r="AG39" i="12" s="1"/>
  <c r="O43" i="12"/>
  <c r="N43" i="12"/>
  <c r="A38" i="7"/>
  <c r="J39" i="7"/>
  <c r="J43" i="7" s="1"/>
  <c r="I39" i="7"/>
  <c r="I43" i="7" s="1"/>
  <c r="E39" i="7"/>
  <c r="H39" i="7"/>
  <c r="H43" i="7" s="1"/>
  <c r="F39" i="7"/>
  <c r="AI37" i="22"/>
  <c r="A38" i="18"/>
  <c r="H39" i="18"/>
  <c r="H43" i="18" s="1"/>
  <c r="F39" i="18"/>
  <c r="J39" i="18"/>
  <c r="J43" i="18" s="1"/>
  <c r="E39" i="18"/>
  <c r="I39" i="18"/>
  <c r="I43" i="18" s="1"/>
  <c r="AJ38" i="4"/>
  <c r="D38" i="4"/>
  <c r="AE38" i="4" s="1"/>
  <c r="AI38" i="9"/>
  <c r="AA39" i="9"/>
  <c r="X39" i="9"/>
  <c r="AA43" i="9"/>
  <c r="W43" i="9"/>
  <c r="AB43" i="9"/>
  <c r="AB39" i="9"/>
  <c r="X43" i="9"/>
  <c r="Z43" i="9"/>
  <c r="W39" i="9"/>
  <c r="Z39" i="9"/>
  <c r="E43" i="17"/>
  <c r="AI37" i="10"/>
  <c r="AD38" i="18"/>
  <c r="O39" i="18"/>
  <c r="O43" i="18"/>
  <c r="N39" i="18"/>
  <c r="N43" i="18"/>
  <c r="AI37" i="7"/>
  <c r="AI38" i="11"/>
  <c r="Z43" i="11"/>
  <c r="W43" i="11"/>
  <c r="AA43" i="11"/>
  <c r="AB43" i="11"/>
  <c r="Z39" i="11"/>
  <c r="AB39" i="11"/>
  <c r="W39" i="11"/>
  <c r="AK39" i="11" s="1"/>
  <c r="X43" i="11"/>
  <c r="AA39" i="11"/>
  <c r="X39" i="11"/>
  <c r="AL39" i="11" s="1"/>
  <c r="D38" i="11"/>
  <c r="AE38" i="11" s="1"/>
  <c r="AJ38" i="11"/>
  <c r="AJ38" i="6"/>
  <c r="D38" i="6"/>
  <c r="AE38" i="6" s="1"/>
  <c r="AD38" i="21"/>
  <c r="N43" i="21"/>
  <c r="O43" i="21"/>
  <c r="O39" i="21"/>
  <c r="AG39" i="21" s="1"/>
  <c r="N39" i="21"/>
  <c r="AF39" i="21" s="1"/>
  <c r="AF39" i="10"/>
  <c r="E43" i="10"/>
  <c r="D37" i="14"/>
  <c r="AE37" i="14" s="1"/>
  <c r="AD37" i="15"/>
  <c r="N39" i="3"/>
  <c r="O39" i="3"/>
  <c r="O43" i="3"/>
  <c r="AG43" i="3" s="1"/>
  <c r="N43" i="3"/>
  <c r="AF43" i="3" s="1"/>
  <c r="AD38" i="3"/>
  <c r="AI38" i="3"/>
  <c r="M38" i="14" l="1"/>
  <c r="V38" i="14"/>
  <c r="W39" i="17"/>
  <c r="AK39" i="17" s="1"/>
  <c r="Z43" i="17"/>
  <c r="AA43" i="17"/>
  <c r="Z39" i="17"/>
  <c r="AI38" i="17"/>
  <c r="AB43" i="17"/>
  <c r="X39" i="17"/>
  <c r="AB39" i="17"/>
  <c r="W43" i="17"/>
  <c r="X43" i="17"/>
  <c r="AL43" i="17" s="1"/>
  <c r="AA39" i="17"/>
  <c r="Z43" i="13"/>
  <c r="X43" i="13"/>
  <c r="AL43" i="13" s="1"/>
  <c r="X39" i="13"/>
  <c r="AB39" i="13"/>
  <c r="AB43" i="13"/>
  <c r="Z39" i="13"/>
  <c r="W43" i="13"/>
  <c r="AA39" i="13"/>
  <c r="W39" i="13"/>
  <c r="AK39" i="13" s="1"/>
  <c r="AI38" i="13"/>
  <c r="AA43" i="13"/>
  <c r="M38" i="9"/>
  <c r="V38" i="9"/>
  <c r="AJ38" i="9" s="1"/>
  <c r="M38" i="20"/>
  <c r="V38" i="20"/>
  <c r="AJ38" i="20" s="1"/>
  <c r="M38" i="5"/>
  <c r="V38" i="5"/>
  <c r="AJ38" i="5" s="1"/>
  <c r="M38" i="16"/>
  <c r="V38" i="16"/>
  <c r="AJ38" i="16" s="1"/>
  <c r="M38" i="7"/>
  <c r="V38" i="7"/>
  <c r="M38" i="18"/>
  <c r="V38" i="18"/>
  <c r="AJ38" i="18" s="1"/>
  <c r="M38" i="22"/>
  <c r="V38" i="22"/>
  <c r="AJ38" i="22" s="1"/>
  <c r="W39" i="16"/>
  <c r="AK39" i="16" s="1"/>
  <c r="Z43" i="16"/>
  <c r="AB43" i="16"/>
  <c r="AA43" i="16"/>
  <c r="W43" i="16"/>
  <c r="Z39" i="16"/>
  <c r="X39" i="16"/>
  <c r="AB39" i="16"/>
  <c r="X43" i="16"/>
  <c r="AA39" i="16"/>
  <c r="AK43" i="9"/>
  <c r="AK39" i="9"/>
  <c r="G39" i="9"/>
  <c r="G43" i="9" s="1"/>
  <c r="F43" i="9"/>
  <c r="AL43" i="9" s="1"/>
  <c r="D38" i="9"/>
  <c r="AE38" i="9" s="1"/>
  <c r="AI38" i="20"/>
  <c r="W43" i="20"/>
  <c r="W39" i="20"/>
  <c r="AK39" i="20" s="1"/>
  <c r="AB43" i="20"/>
  <c r="AA43" i="20"/>
  <c r="X43" i="20"/>
  <c r="Z43" i="20"/>
  <c r="X39" i="20"/>
  <c r="AA39" i="20"/>
  <c r="AB39" i="20"/>
  <c r="Z39" i="20"/>
  <c r="Y39" i="6"/>
  <c r="Y43" i="6"/>
  <c r="AL43" i="11"/>
  <c r="AG43" i="11"/>
  <c r="AD38" i="23"/>
  <c r="N43" i="23"/>
  <c r="AF43" i="23" s="1"/>
  <c r="O43" i="23"/>
  <c r="AG43" i="23" s="1"/>
  <c r="O39" i="23"/>
  <c r="N39" i="23"/>
  <c r="AF39" i="23" s="1"/>
  <c r="AK43" i="11"/>
  <c r="AF43" i="11"/>
  <c r="G39" i="5"/>
  <c r="G43" i="5" s="1"/>
  <c r="F43" i="5"/>
  <c r="Y39" i="15"/>
  <c r="Y43" i="15"/>
  <c r="AK43" i="17"/>
  <c r="E43" i="5"/>
  <c r="Y39" i="9"/>
  <c r="Y43" i="9"/>
  <c r="AL39" i="9"/>
  <c r="P43" i="21"/>
  <c r="P39" i="21"/>
  <c r="R43" i="21"/>
  <c r="P43" i="18"/>
  <c r="P39" i="18"/>
  <c r="R43" i="18"/>
  <c r="AG39" i="18"/>
  <c r="F43" i="18"/>
  <c r="G39" i="18"/>
  <c r="G43" i="18" s="1"/>
  <c r="AK43" i="13"/>
  <c r="E43" i="16"/>
  <c r="AF39" i="16"/>
  <c r="P43" i="22"/>
  <c r="P39" i="22"/>
  <c r="R43" i="22"/>
  <c r="AI38" i="18"/>
  <c r="AB43" i="18"/>
  <c r="X43" i="18"/>
  <c r="Z43" i="18"/>
  <c r="AA43" i="18"/>
  <c r="W39" i="18"/>
  <c r="AK39" i="18" s="1"/>
  <c r="W43" i="18"/>
  <c r="Z39" i="18"/>
  <c r="X39" i="18"/>
  <c r="AL39" i="18" s="1"/>
  <c r="AA39" i="18"/>
  <c r="AB39" i="18"/>
  <c r="AI38" i="12"/>
  <c r="AB43" i="12"/>
  <c r="Z43" i="12"/>
  <c r="W43" i="12"/>
  <c r="AK43" i="12" s="1"/>
  <c r="AA43" i="12"/>
  <c r="X39" i="12"/>
  <c r="X43" i="12"/>
  <c r="AL43" i="12" s="1"/>
  <c r="Z39" i="12"/>
  <c r="AB39" i="12"/>
  <c r="W39" i="12"/>
  <c r="AK39" i="12" s="1"/>
  <c r="AA39" i="12"/>
  <c r="AG43" i="12"/>
  <c r="AK43" i="4"/>
  <c r="E43" i="7"/>
  <c r="AD38" i="9"/>
  <c r="N43" i="9"/>
  <c r="AF43" i="9" s="1"/>
  <c r="O39" i="9"/>
  <c r="N39" i="9"/>
  <c r="AF39" i="9" s="1"/>
  <c r="O43" i="9"/>
  <c r="AG39" i="22"/>
  <c r="G39" i="22"/>
  <c r="G43" i="22" s="1"/>
  <c r="F43" i="22"/>
  <c r="AK43" i="6"/>
  <c r="AD38" i="8"/>
  <c r="O43" i="8"/>
  <c r="AG43" i="8" s="1"/>
  <c r="O39" i="8"/>
  <c r="N43" i="8"/>
  <c r="AF43" i="8" s="1"/>
  <c r="N39" i="8"/>
  <c r="AF39" i="8" s="1"/>
  <c r="E43" i="20"/>
  <c r="AF39" i="20"/>
  <c r="AD38" i="5"/>
  <c r="O43" i="5"/>
  <c r="N43" i="5"/>
  <c r="O39" i="5"/>
  <c r="N39" i="5"/>
  <c r="AF39" i="5" s="1"/>
  <c r="AI38" i="5"/>
  <c r="AB43" i="5"/>
  <c r="AA43" i="5"/>
  <c r="X43" i="5"/>
  <c r="W43" i="5"/>
  <c r="Z43" i="5"/>
  <c r="Z39" i="5"/>
  <c r="W39" i="5"/>
  <c r="AK39" i="5" s="1"/>
  <c r="X39" i="5"/>
  <c r="AL39" i="5" s="1"/>
  <c r="AA39" i="5"/>
  <c r="AB39" i="5"/>
  <c r="AK43" i="15"/>
  <c r="AF39" i="18"/>
  <c r="E43" i="18"/>
  <c r="Y43" i="8"/>
  <c r="Y39" i="8"/>
  <c r="AL39" i="8"/>
  <c r="D38" i="18"/>
  <c r="AE38" i="18" s="1"/>
  <c r="AJ38" i="7"/>
  <c r="D38" i="7"/>
  <c r="AE38" i="7" s="1"/>
  <c r="E43" i="14"/>
  <c r="AK39" i="14"/>
  <c r="G39" i="16"/>
  <c r="G43" i="16" s="1"/>
  <c r="F43" i="16"/>
  <c r="AG39" i="16"/>
  <c r="G39" i="20"/>
  <c r="G43" i="20" s="1"/>
  <c r="F43" i="20"/>
  <c r="AG39" i="20"/>
  <c r="AL43" i="6"/>
  <c r="D38" i="5"/>
  <c r="AE38" i="5" s="1"/>
  <c r="AL39" i="15"/>
  <c r="AD38" i="19"/>
  <c r="O43" i="19"/>
  <c r="AG43" i="19" s="1"/>
  <c r="O39" i="19"/>
  <c r="N43" i="19"/>
  <c r="AF43" i="19" s="1"/>
  <c r="N39" i="19"/>
  <c r="AF39" i="19" s="1"/>
  <c r="AI38" i="10"/>
  <c r="AA43" i="10"/>
  <c r="X39" i="10"/>
  <c r="X43" i="10"/>
  <c r="AL43" i="10" s="1"/>
  <c r="Z43" i="10"/>
  <c r="AB39" i="10"/>
  <c r="AB43" i="10"/>
  <c r="AA39" i="10"/>
  <c r="W43" i="10"/>
  <c r="AK43" i="10" s="1"/>
  <c r="W39" i="10"/>
  <c r="AK39" i="10" s="1"/>
  <c r="Z39" i="10"/>
  <c r="G39" i="14"/>
  <c r="G43" i="14" s="1"/>
  <c r="F43" i="14"/>
  <c r="AL39" i="14"/>
  <c r="P43" i="16"/>
  <c r="P39" i="16"/>
  <c r="R43" i="16"/>
  <c r="AF43" i="21"/>
  <c r="AK43" i="21"/>
  <c r="AF43" i="12"/>
  <c r="AD38" i="4"/>
  <c r="O39" i="4"/>
  <c r="N39" i="4"/>
  <c r="AF39" i="4" s="1"/>
  <c r="N43" i="4"/>
  <c r="AF43" i="4" s="1"/>
  <c r="O43" i="4"/>
  <c r="AG43" i="4" s="1"/>
  <c r="D38" i="20"/>
  <c r="AE38" i="20" s="1"/>
  <c r="AL39" i="6"/>
  <c r="AD38" i="14"/>
  <c r="N43" i="14"/>
  <c r="O43" i="14"/>
  <c r="O39" i="14"/>
  <c r="AG39" i="14" s="1"/>
  <c r="N39" i="14"/>
  <c r="AF39" i="14" s="1"/>
  <c r="Y43" i="4"/>
  <c r="Y39" i="4"/>
  <c r="AL43" i="15"/>
  <c r="D38" i="22"/>
  <c r="AE38" i="22" s="1"/>
  <c r="AK43" i="19"/>
  <c r="AD38" i="15"/>
  <c r="O43" i="15"/>
  <c r="AG43" i="15" s="1"/>
  <c r="N43" i="15"/>
  <c r="AF43" i="15" s="1"/>
  <c r="O39" i="15"/>
  <c r="N39" i="15"/>
  <c r="AF39" i="15" s="1"/>
  <c r="AI38" i="7"/>
  <c r="W43" i="7"/>
  <c r="X43" i="7"/>
  <c r="AB43" i="7"/>
  <c r="Z43" i="7"/>
  <c r="AA43" i="7"/>
  <c r="AB39" i="7"/>
  <c r="X39" i="7"/>
  <c r="AL39" i="7" s="1"/>
  <c r="AA39" i="7"/>
  <c r="W39" i="7"/>
  <c r="AK39" i="7" s="1"/>
  <c r="Z39" i="7"/>
  <c r="AI38" i="22"/>
  <c r="AA43" i="22"/>
  <c r="Z43" i="22"/>
  <c r="W39" i="22"/>
  <c r="AK39" i="22" s="1"/>
  <c r="AA39" i="22"/>
  <c r="Z39" i="22"/>
  <c r="AB43" i="22"/>
  <c r="X43" i="22"/>
  <c r="W43" i="22"/>
  <c r="AB39" i="22"/>
  <c r="X39" i="22"/>
  <c r="Y43" i="19"/>
  <c r="Y39" i="19"/>
  <c r="AL43" i="4"/>
  <c r="P43" i="11"/>
  <c r="P39" i="11"/>
  <c r="R43" i="11"/>
  <c r="D38" i="16"/>
  <c r="AE38" i="16" s="1"/>
  <c r="AD38" i="7"/>
  <c r="N39" i="7"/>
  <c r="AF39" i="7" s="1"/>
  <c r="N43" i="7"/>
  <c r="O43" i="7"/>
  <c r="O39" i="7"/>
  <c r="AG39" i="7" s="1"/>
  <c r="AD38" i="17"/>
  <c r="O43" i="17"/>
  <c r="AG43" i="17" s="1"/>
  <c r="O39" i="17"/>
  <c r="N43" i="17"/>
  <c r="AF43" i="17" s="1"/>
  <c r="N39" i="17"/>
  <c r="AF39" i="17" s="1"/>
  <c r="AD38" i="6"/>
  <c r="N43" i="6"/>
  <c r="AF43" i="6" s="1"/>
  <c r="O39" i="6"/>
  <c r="O43" i="6"/>
  <c r="AG43" i="6" s="1"/>
  <c r="N39" i="6"/>
  <c r="AF39" i="6" s="1"/>
  <c r="AI38" i="23"/>
  <c r="AA43" i="23"/>
  <c r="AA39" i="23"/>
  <c r="W39" i="23"/>
  <c r="AK39" i="23" s="1"/>
  <c r="W43" i="23"/>
  <c r="AK43" i="23" s="1"/>
  <c r="Z43" i="23"/>
  <c r="X43" i="23"/>
  <c r="AL43" i="23" s="1"/>
  <c r="AB43" i="23"/>
  <c r="Z39" i="23"/>
  <c r="X39" i="23"/>
  <c r="AB39" i="23"/>
  <c r="AL43" i="19"/>
  <c r="AD38" i="13"/>
  <c r="O43" i="13"/>
  <c r="AG43" i="13" s="1"/>
  <c r="N43" i="13"/>
  <c r="AF43" i="13" s="1"/>
  <c r="O39" i="13"/>
  <c r="N39" i="13"/>
  <c r="AF39" i="13" s="1"/>
  <c r="Y43" i="11"/>
  <c r="Y39" i="11"/>
  <c r="AF43" i="10"/>
  <c r="G39" i="7"/>
  <c r="G43" i="7" s="1"/>
  <c r="F43" i="7"/>
  <c r="P43" i="12"/>
  <c r="P39" i="12"/>
  <c r="R43" i="12"/>
  <c r="D38" i="14"/>
  <c r="AE38" i="14" s="1"/>
  <c r="AJ38" i="14"/>
  <c r="E43" i="22"/>
  <c r="AF39" i="22"/>
  <c r="AG43" i="21"/>
  <c r="AL43" i="21"/>
  <c r="Y43" i="21"/>
  <c r="Y39" i="21"/>
  <c r="AG43" i="10"/>
  <c r="AF39" i="3"/>
  <c r="AG39" i="3"/>
  <c r="R43" i="3"/>
  <c r="P43" i="3"/>
  <c r="P39" i="3"/>
  <c r="AL39" i="13" l="1"/>
  <c r="Y43" i="13"/>
  <c r="Y39" i="13"/>
  <c r="AL39" i="17"/>
  <c r="Y43" i="17"/>
  <c r="Y39" i="17"/>
  <c r="Y43" i="16"/>
  <c r="AL39" i="16"/>
  <c r="Y39" i="16"/>
  <c r="AG43" i="9"/>
  <c r="P43" i="5"/>
  <c r="P39" i="5"/>
  <c r="R43" i="5"/>
  <c r="AL43" i="22"/>
  <c r="AG43" i="22"/>
  <c r="P43" i="7"/>
  <c r="P39" i="7"/>
  <c r="R43" i="7"/>
  <c r="AL43" i="16"/>
  <c r="AG43" i="16"/>
  <c r="AK43" i="5"/>
  <c r="AF43" i="5"/>
  <c r="Y43" i="22"/>
  <c r="Y39" i="22"/>
  <c r="AF43" i="18"/>
  <c r="AK43" i="18"/>
  <c r="Y43" i="20"/>
  <c r="Y39" i="20"/>
  <c r="P39" i="19"/>
  <c r="P43" i="19"/>
  <c r="R43" i="19"/>
  <c r="AG39" i="19"/>
  <c r="Y43" i="23"/>
  <c r="Y39" i="23"/>
  <c r="AL39" i="23"/>
  <c r="AL43" i="14"/>
  <c r="AG43" i="14"/>
  <c r="P39" i="8"/>
  <c r="P43" i="8"/>
  <c r="R43" i="8"/>
  <c r="AG39" i="8"/>
  <c r="AL39" i="22"/>
  <c r="AK43" i="7"/>
  <c r="AF43" i="7"/>
  <c r="AG39" i="5"/>
  <c r="AK43" i="22"/>
  <c r="AF43" i="22"/>
  <c r="P43" i="13"/>
  <c r="P39" i="13"/>
  <c r="R43" i="13"/>
  <c r="AG39" i="13"/>
  <c r="P43" i="17"/>
  <c r="P39" i="17"/>
  <c r="R43" i="17"/>
  <c r="AG39" i="17"/>
  <c r="AL39" i="20"/>
  <c r="AG43" i="18"/>
  <c r="AL43" i="18"/>
  <c r="AG43" i="7"/>
  <c r="AL43" i="7"/>
  <c r="P43" i="14"/>
  <c r="P39" i="14"/>
  <c r="R43" i="14"/>
  <c r="Y43" i="10"/>
  <c r="Y39" i="10"/>
  <c r="AL39" i="10"/>
  <c r="AL43" i="20"/>
  <c r="AG43" i="20"/>
  <c r="AK43" i="14"/>
  <c r="AF43" i="14"/>
  <c r="Y39" i="12"/>
  <c r="Y43" i="12"/>
  <c r="AL39" i="12"/>
  <c r="Y43" i="18"/>
  <c r="Y39" i="18"/>
  <c r="AK43" i="16"/>
  <c r="AF43" i="16"/>
  <c r="P43" i="23"/>
  <c r="P39" i="23"/>
  <c r="R43" i="23"/>
  <c r="AG39" i="23"/>
  <c r="P43" i="4"/>
  <c r="P39" i="4"/>
  <c r="R43" i="4"/>
  <c r="AG39" i="4"/>
  <c r="Y43" i="7"/>
  <c r="Y39" i="7"/>
  <c r="Y39" i="5"/>
  <c r="Y43" i="5"/>
  <c r="AK43" i="20"/>
  <c r="AF43" i="20"/>
  <c r="P43" i="9"/>
  <c r="P39" i="9"/>
  <c r="R43" i="9"/>
  <c r="AG39" i="9"/>
  <c r="AL43" i="5"/>
  <c r="AG43" i="5"/>
  <c r="P43" i="6"/>
  <c r="P39" i="6"/>
  <c r="R43" i="6"/>
  <c r="AG39" i="6"/>
  <c r="P43" i="15"/>
  <c r="P39" i="15"/>
  <c r="R43" i="15"/>
  <c r="AG39" i="15"/>
</calcChain>
</file>

<file path=xl/sharedStrings.xml><?xml version="1.0" encoding="utf-8"?>
<sst xmlns="http://schemas.openxmlformats.org/spreadsheetml/2006/main" count="1575" uniqueCount="20">
  <si>
    <t xml:space="preserve">Total </t>
  </si>
  <si>
    <t>Labor %</t>
  </si>
  <si>
    <t>Percentage Change</t>
  </si>
  <si>
    <t>Labor</t>
  </si>
  <si>
    <t>Cost</t>
  </si>
  <si>
    <t>of Sales</t>
  </si>
  <si>
    <t>Reg</t>
  </si>
  <si>
    <t>Hrs</t>
  </si>
  <si>
    <t>OT</t>
  </si>
  <si>
    <t>Total</t>
  </si>
  <si>
    <t>Hours</t>
  </si>
  <si>
    <t>Sales</t>
  </si>
  <si>
    <t>Current vs. 2022</t>
  </si>
  <si>
    <t>Current vs. 2021</t>
  </si>
  <si>
    <t>Daily Sales</t>
  </si>
  <si>
    <t>Totals</t>
  </si>
  <si>
    <t>MTD Actual</t>
  </si>
  <si>
    <t>*Daily Total calculates the matching days only</t>
  </si>
  <si>
    <t>Sales Vs. 2022</t>
  </si>
  <si>
    <t>Sales Vs.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</si>
</sst>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[$-409]d\-mmm;@"/>
    <numFmt numFmtId="165" formatCode="&quot;$&quot;#,##0"/>
    <numFmt numFmtId="166" formatCode="0.0%"/>
  </numFmts>
  <fonts count="16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i/>
      <sz val="10"/>
      <color theme="0"/>
      <name val="Calibri"/>
      <family val="2"/>
    </font>
    <font>
      <b/>
      <i/>
      <sz val="9"/>
      <color theme="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b/>
      <sz val="12"/>
      <color theme="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i/>
      <sz val="11"/>
      <name val="Calibri"/>
      <family val="2"/>
    </font>
    <font>
      <b/>
      <sz val="11"/>
      <color theme="1" tint="0.34998626667073579"/>
      <name val="Calibri"/>
      <family val="2"/>
    </font>
    <font>
      <sz val="11"/>
      <color theme="1"/>
      <name val="Calibri"/>
      <family val="2"/>
    </font>
    <font>
      <sz val="8"/>
      <name val="Calibri"/>
      <family val="2"/>
    </font>
    <font>
      <b/>
      <sz val="12"/>
      <color theme="0"/>
      <name val="Calibri"/>
      <family val="2"/>
    </font>
    <font>
      <b/>
      <sz val="11"/>
      <color rgb="FF28467C"/>
      <name val="Calibri"/>
      <family val="2"/>
    </font>
    <font>
      <b/>
      <sz val="11"/>
      <color rgb="FFFEFDD7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D3CAE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1C808"/>
        <bgColor theme="0"/>
      </patternFill>
    </fill>
    <fill>
      <patternFill patternType="solid">
        <fgColor rgb="FFDCFEDA"/>
        <bgColor indexed="64"/>
      </patternFill>
    </fill>
    <fill>
      <patternFill patternType="solid">
        <fgColor rgb="FFFEFDD7"/>
        <bgColor indexed="64"/>
      </patternFill>
    </fill>
    <fill>
      <patternFill patternType="solid">
        <fgColor rgb="FFF9F307"/>
        <bgColor theme="0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8066A6"/>
        <bgColor indexed="64"/>
      </patternFill>
    </fill>
    <fill>
      <patternFill patternType="solid">
        <fgColor rgb="FF554272"/>
        <bgColor indexed="64"/>
      </patternFill>
    </fill>
    <fill>
      <patternFill patternType="solid">
        <fgColor theme="9" tint="-0.249977111117893"/>
        <bgColor theme="0"/>
      </patternFill>
    </fill>
    <fill>
      <patternFill patternType="solid">
        <fgColor theme="7" tint="0.39997558519241921"/>
        <bgColor theme="0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thin">
        <color auto="1"/>
      </left>
      <right style="medium">
        <color theme="2" tint="-0.499984740745262"/>
      </right>
      <top style="medium">
        <color theme="2" tint="-0.499984740745262"/>
      </top>
      <bottom style="thin">
        <color auto="1"/>
      </bottom>
      <diagonal/>
    </border>
    <border>
      <left style="medium">
        <color theme="2" tint="-0.499984740745262"/>
      </left>
      <right style="medium">
        <color theme="2" tint="-0.499984740745262"/>
      </right>
      <top style="medium">
        <color theme="2" tint="-0.499984740745262"/>
      </top>
      <bottom style="thin">
        <color auto="1"/>
      </bottom>
      <diagonal/>
    </border>
    <border>
      <left style="medium">
        <color theme="2" tint="-0.499984740745262"/>
      </left>
      <right style="thin">
        <color auto="1"/>
      </right>
      <top style="medium">
        <color theme="2" tint="-0.499984740745262"/>
      </top>
      <bottom style="thin">
        <color auto="1"/>
      </bottom>
      <diagonal/>
    </border>
    <border>
      <left style="thin">
        <color auto="1"/>
      </left>
      <right style="medium">
        <color theme="9" tint="-0.24994659260841701"/>
      </right>
      <top style="medium">
        <color theme="9" tint="-0.24994659260841701"/>
      </top>
      <bottom style="thin">
        <color auto="1"/>
      </bottom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auto="1"/>
      </bottom>
      <diagonal/>
    </border>
    <border>
      <left style="medium">
        <color theme="9" tint="-0.24994659260841701"/>
      </left>
      <right style="thin">
        <color auto="1"/>
      </right>
      <top style="medium">
        <color theme="9" tint="-0.24994659260841701"/>
      </top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theme="1" tint="4.9989318521683403E-2"/>
      </left>
      <right style="thin">
        <color rgb="FFFEFDD7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rgb="FFFEFDD7"/>
      </left>
      <right style="thin">
        <color rgb="FFFEFDD7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rgb="FFFEFDD7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</borders>
  <cellStyleXfs count="2">
    <xf numFmtId="0" fontId="0" fillId="0" borderId="0"/>
    <xf numFmtId="43" fontId="11" fillId="0" borderId="0" applyFont="0" applyFill="0" applyBorder="0" applyAlignment="0" applyProtection="0"/>
  </cellStyleXfs>
  <cellXfs count="135">
    <xf numFmtId="0" fontId="0" fillId="0" borderId="0" xfId="0"/>
    <xf numFmtId="0" fontId="0" fillId="0" borderId="0" xfId="0" applyAlignment="1">
      <alignment vertical="center" readingOrder="1"/>
    </xf>
    <xf numFmtId="0" fontId="0" fillId="0" borderId="0" xfId="0" applyAlignment="1">
      <alignment horizontal="right" vertical="center" readingOrder="1"/>
    </xf>
    <xf numFmtId="0" fontId="2" fillId="0" borderId="0" xfId="0" applyFont="1" applyAlignment="1">
      <alignment vertical="center" readingOrder="1"/>
    </xf>
    <xf numFmtId="1" fontId="0" fillId="0" borderId="0" xfId="0" applyNumberFormat="1" applyAlignment="1">
      <alignment vertical="center" readingOrder="1"/>
    </xf>
    <xf numFmtId="164" fontId="1" fillId="0" borderId="1" xfId="0" applyNumberFormat="1" applyFont="1" applyBorder="1" applyAlignment="1">
      <alignment vertical="center" readingOrder="1"/>
    </xf>
    <xf numFmtId="0" fontId="3" fillId="0" borderId="1" xfId="0" applyFont="1" applyBorder="1" applyAlignment="1">
      <alignment horizontal="right" vertical="center" readingOrder="1"/>
    </xf>
    <xf numFmtId="165" fontId="0" fillId="0" borderId="1" xfId="0" applyNumberFormat="1" applyBorder="1" applyAlignment="1">
      <alignment horizontal="right" vertical="center" readingOrder="1"/>
    </xf>
    <xf numFmtId="166" fontId="0" fillId="0" borderId="1" xfId="0" applyNumberFormat="1" applyBorder="1" applyAlignment="1">
      <alignment horizontal="center" vertical="center" readingOrder="1"/>
    </xf>
    <xf numFmtId="166" fontId="1" fillId="0" borderId="1" xfId="0" applyNumberFormat="1" applyFont="1" applyBorder="1" applyAlignment="1">
      <alignment horizontal="center" vertical="center" readingOrder="1"/>
    </xf>
    <xf numFmtId="3" fontId="1" fillId="0" borderId="1" xfId="0" applyNumberFormat="1" applyFont="1" applyBorder="1" applyAlignment="1">
      <alignment horizontal="center" vertical="center" readingOrder="1"/>
    </xf>
    <xf numFmtId="0" fontId="1" fillId="2" borderId="13" xfId="0" applyFont="1" applyFill="1" applyBorder="1" applyAlignment="1">
      <alignment horizontal="center" wrapText="1" readingOrder="1"/>
    </xf>
    <xf numFmtId="0" fontId="1" fillId="2" borderId="14" xfId="0" applyFont="1" applyFill="1" applyBorder="1" applyAlignment="1">
      <alignment horizontal="center" vertical="top" wrapText="1" readingOrder="1"/>
    </xf>
    <xf numFmtId="0" fontId="1" fillId="3" borderId="13" xfId="0" applyFont="1" applyFill="1" applyBorder="1" applyAlignment="1">
      <alignment horizontal="center" wrapText="1" readingOrder="1"/>
    </xf>
    <xf numFmtId="0" fontId="1" fillId="3" borderId="14" xfId="0" applyFont="1" applyFill="1" applyBorder="1" applyAlignment="1">
      <alignment horizontal="center" vertical="top" wrapText="1" readingOrder="1"/>
    </xf>
    <xf numFmtId="0" fontId="1" fillId="4" borderId="13" xfId="0" applyFont="1" applyFill="1" applyBorder="1" applyAlignment="1">
      <alignment horizontal="center" wrapText="1" readingOrder="1"/>
    </xf>
    <xf numFmtId="0" fontId="1" fillId="4" borderId="14" xfId="0" applyFont="1" applyFill="1" applyBorder="1" applyAlignment="1">
      <alignment horizontal="center" vertical="top" wrapText="1" readingOrder="1"/>
    </xf>
    <xf numFmtId="0" fontId="5" fillId="0" borderId="0" xfId="0" applyFont="1" applyAlignment="1">
      <alignment vertical="center" readingOrder="1"/>
    </xf>
    <xf numFmtId="14" fontId="5" fillId="0" borderId="0" xfId="0" applyNumberFormat="1" applyFont="1" applyAlignment="1">
      <alignment vertical="center" readingOrder="1"/>
    </xf>
    <xf numFmtId="0" fontId="8" fillId="0" borderId="0" xfId="0" applyFont="1" applyAlignment="1">
      <alignment vertical="center" readingOrder="1"/>
    </xf>
    <xf numFmtId="0" fontId="4" fillId="0" borderId="0" xfId="0" applyFont="1" applyAlignment="1">
      <alignment horizontal="center" vertical="center" readingOrder="1"/>
    </xf>
    <xf numFmtId="165" fontId="1" fillId="0" borderId="1" xfId="0" applyNumberFormat="1" applyFont="1" applyBorder="1" applyAlignment="1">
      <alignment horizontal="center" vertical="center" readingOrder="1"/>
    </xf>
    <xf numFmtId="0" fontId="1" fillId="0" borderId="0" xfId="0" applyFont="1" applyAlignment="1">
      <alignment horizontal="center" vertical="center" readingOrder="1"/>
    </xf>
    <xf numFmtId="0" fontId="7" fillId="0" borderId="0" xfId="0" applyFont="1" applyAlignment="1">
      <alignment horizontal="center" vertical="center" readingOrder="1"/>
    </xf>
    <xf numFmtId="0" fontId="1" fillId="5" borderId="5" xfId="0" applyFont="1" applyFill="1" applyBorder="1" applyAlignment="1">
      <alignment horizontal="center" vertical="center" readingOrder="1"/>
    </xf>
    <xf numFmtId="0" fontId="1" fillId="5" borderId="6" xfId="0" applyFont="1" applyFill="1" applyBorder="1" applyAlignment="1">
      <alignment horizontal="right" vertical="center" readingOrder="1"/>
    </xf>
    <xf numFmtId="0" fontId="1" fillId="5" borderId="6" xfId="0" applyFont="1" applyFill="1" applyBorder="1" applyAlignment="1">
      <alignment horizontal="center" vertical="center" readingOrder="1"/>
    </xf>
    <xf numFmtId="166" fontId="1" fillId="5" borderId="6" xfId="0" applyNumberFormat="1" applyFont="1" applyFill="1" applyBorder="1" applyAlignment="1">
      <alignment horizontal="center" vertical="center" readingOrder="1"/>
    </xf>
    <xf numFmtId="164" fontId="1" fillId="5" borderId="10" xfId="0" applyNumberFormat="1" applyFont="1" applyFill="1" applyBorder="1" applyAlignment="1">
      <alignment vertical="center" readingOrder="1"/>
    </xf>
    <xf numFmtId="0" fontId="3" fillId="5" borderId="11" xfId="0" applyFont="1" applyFill="1" applyBorder="1" applyAlignment="1">
      <alignment horizontal="right" vertical="center" readingOrder="1"/>
    </xf>
    <xf numFmtId="165" fontId="0" fillId="5" borderId="11" xfId="0" applyNumberFormat="1" applyFill="1" applyBorder="1" applyAlignment="1">
      <alignment horizontal="right" vertical="center" readingOrder="1"/>
    </xf>
    <xf numFmtId="166" fontId="0" fillId="5" borderId="11" xfId="0" applyNumberFormat="1" applyFill="1" applyBorder="1" applyAlignment="1">
      <alignment horizontal="center" vertical="center" readingOrder="1"/>
    </xf>
    <xf numFmtId="0" fontId="1" fillId="5" borderId="8" xfId="0" applyFont="1" applyFill="1" applyBorder="1" applyAlignment="1">
      <alignment horizontal="center" vertical="center" readingOrder="1"/>
    </xf>
    <xf numFmtId="0" fontId="1" fillId="5" borderId="0" xfId="0" applyFont="1" applyFill="1" applyAlignment="1">
      <alignment horizontal="right" vertical="center" readingOrder="1"/>
    </xf>
    <xf numFmtId="0" fontId="1" fillId="5" borderId="0" xfId="0" applyFont="1" applyFill="1" applyAlignment="1">
      <alignment horizontal="center" vertical="center" readingOrder="1"/>
    </xf>
    <xf numFmtId="166" fontId="1" fillId="5" borderId="0" xfId="0" applyNumberFormat="1" applyFont="1" applyFill="1" applyAlignment="1">
      <alignment horizontal="center" vertical="center" readingOrder="1"/>
    </xf>
    <xf numFmtId="166" fontId="0" fillId="0" borderId="0" xfId="0" applyNumberFormat="1" applyAlignment="1">
      <alignment vertical="center" readingOrder="1"/>
    </xf>
    <xf numFmtId="166" fontId="1" fillId="5" borderId="7" xfId="0" applyNumberFormat="1" applyFont="1" applyFill="1" applyBorder="1" applyAlignment="1">
      <alignment horizontal="center" vertical="center" readingOrder="1"/>
    </xf>
    <xf numFmtId="166" fontId="0" fillId="5" borderId="11" xfId="0" applyNumberFormat="1" applyFill="1" applyBorder="1" applyAlignment="1">
      <alignment horizontal="right" vertical="center" readingOrder="1"/>
    </xf>
    <xf numFmtId="166" fontId="0" fillId="5" borderId="12" xfId="0" applyNumberFormat="1" applyFill="1" applyBorder="1" applyAlignment="1">
      <alignment horizontal="right" vertical="center" readingOrder="1"/>
    </xf>
    <xf numFmtId="166" fontId="0" fillId="0" borderId="1" xfId="0" applyNumberFormat="1" applyBorder="1" applyAlignment="1">
      <alignment horizontal="right" vertical="center" readingOrder="1"/>
    </xf>
    <xf numFmtId="166" fontId="7" fillId="0" borderId="1" xfId="0" applyNumberFormat="1" applyFont="1" applyBorder="1" applyAlignment="1">
      <alignment horizontal="center" vertical="center" readingOrder="1"/>
    </xf>
    <xf numFmtId="166" fontId="10" fillId="9" borderId="20" xfId="0" applyNumberFormat="1" applyFont="1" applyFill="1" applyBorder="1" applyAlignment="1">
      <alignment horizontal="center" vertical="center" wrapText="1" readingOrder="1"/>
    </xf>
    <xf numFmtId="166" fontId="4" fillId="6" borderId="23" xfId="0" applyNumberFormat="1" applyFont="1" applyFill="1" applyBorder="1" applyAlignment="1">
      <alignment horizontal="center" vertical="center" wrapText="1" readingOrder="1"/>
    </xf>
    <xf numFmtId="166" fontId="1" fillId="5" borderId="5" xfId="0" applyNumberFormat="1" applyFont="1" applyFill="1" applyBorder="1" applyAlignment="1">
      <alignment horizontal="center" vertical="center" readingOrder="1"/>
    </xf>
    <xf numFmtId="166" fontId="0" fillId="5" borderId="10" xfId="0" applyNumberFormat="1" applyFill="1" applyBorder="1" applyAlignment="1">
      <alignment horizontal="right" vertical="center" readingOrder="1"/>
    </xf>
    <xf numFmtId="0" fontId="1" fillId="5" borderId="2" xfId="0" applyFont="1" applyFill="1" applyBorder="1" applyAlignment="1">
      <alignment horizontal="right" vertical="center" readingOrder="1"/>
    </xf>
    <xf numFmtId="0" fontId="1" fillId="5" borderId="12" xfId="0" applyFont="1" applyFill="1" applyBorder="1" applyAlignment="1">
      <alignment horizontal="left" vertical="center" wrapText="1" readingOrder="1"/>
    </xf>
    <xf numFmtId="0" fontId="1" fillId="5" borderId="10" xfId="0" applyFont="1" applyFill="1" applyBorder="1" applyAlignment="1">
      <alignment horizontal="right" vertical="center" readingOrder="1"/>
    </xf>
    <xf numFmtId="165" fontId="1" fillId="0" borderId="14" xfId="0" applyNumberFormat="1" applyFont="1" applyBorder="1" applyAlignment="1">
      <alignment horizontal="center" vertical="center" readingOrder="1"/>
    </xf>
    <xf numFmtId="166" fontId="1" fillId="0" borderId="14" xfId="0" applyNumberFormat="1" applyFont="1" applyBorder="1" applyAlignment="1">
      <alignment horizontal="center" vertical="center" readingOrder="1"/>
    </xf>
    <xf numFmtId="3" fontId="1" fillId="0" borderId="14" xfId="0" applyNumberFormat="1" applyFont="1" applyBorder="1" applyAlignment="1">
      <alignment horizontal="center" vertical="center" readingOrder="1"/>
    </xf>
    <xf numFmtId="0" fontId="13" fillId="10" borderId="25" xfId="0" applyFont="1" applyFill="1" applyBorder="1" applyAlignment="1">
      <alignment horizontal="center" vertical="center" wrapText="1" readingOrder="1"/>
    </xf>
    <xf numFmtId="0" fontId="13" fillId="10" borderId="25" xfId="0" applyFont="1" applyFill="1" applyBorder="1" applyAlignment="1">
      <alignment horizontal="center" wrapText="1" readingOrder="1"/>
    </xf>
    <xf numFmtId="0" fontId="13" fillId="13" borderId="25" xfId="0" applyFont="1" applyFill="1" applyBorder="1" applyAlignment="1">
      <alignment horizontal="center" vertical="center" wrapText="1" readingOrder="1"/>
    </xf>
    <xf numFmtId="0" fontId="13" fillId="13" borderId="25" xfId="0" applyFont="1" applyFill="1" applyBorder="1" applyAlignment="1">
      <alignment horizontal="center" wrapText="1" readingOrder="1"/>
    </xf>
    <xf numFmtId="0" fontId="13" fillId="14" borderId="25" xfId="0" applyFont="1" applyFill="1" applyBorder="1" applyAlignment="1">
      <alignment horizontal="center" vertical="center" wrapText="1" readingOrder="1"/>
    </xf>
    <xf numFmtId="0" fontId="13" fillId="14" borderId="25" xfId="0" applyFont="1" applyFill="1" applyBorder="1" applyAlignment="1">
      <alignment horizontal="center" wrapText="1" readingOrder="1"/>
    </xf>
    <xf numFmtId="0" fontId="9" fillId="0" borderId="0" xfId="0" applyFont="1" applyAlignment="1">
      <alignment horizontal="left" readingOrder="1"/>
    </xf>
    <xf numFmtId="166" fontId="14" fillId="17" borderId="27" xfId="0" applyNumberFormat="1" applyFont="1" applyFill="1" applyBorder="1" applyAlignment="1">
      <alignment horizontal="center" vertical="center" wrapText="1" readingOrder="1"/>
    </xf>
    <xf numFmtId="166" fontId="15" fillId="16" borderId="30" xfId="0" applyNumberFormat="1" applyFont="1" applyFill="1" applyBorder="1" applyAlignment="1">
      <alignment horizontal="center" vertical="center" wrapText="1" readingOrder="1"/>
    </xf>
    <xf numFmtId="3" fontId="0" fillId="0" borderId="0" xfId="0" applyNumberFormat="1" applyAlignment="1">
      <alignment vertical="center" readingOrder="1"/>
    </xf>
    <xf numFmtId="3" fontId="1" fillId="3" borderId="13" xfId="0" applyNumberFormat="1" applyFont="1" applyFill="1" applyBorder="1" applyAlignment="1">
      <alignment horizontal="center" wrapText="1" readingOrder="1"/>
    </xf>
    <xf numFmtId="3" fontId="1" fillId="3" borderId="14" xfId="0" applyNumberFormat="1" applyFont="1" applyFill="1" applyBorder="1" applyAlignment="1">
      <alignment horizontal="center" vertical="top" wrapText="1" readingOrder="1"/>
    </xf>
    <xf numFmtId="3" fontId="0" fillId="0" borderId="1" xfId="0" applyNumberFormat="1" applyBorder="1" applyAlignment="1">
      <alignment horizontal="center" vertical="center" readingOrder="1"/>
    </xf>
    <xf numFmtId="3" fontId="0" fillId="0" borderId="0" xfId="0" applyNumberFormat="1"/>
    <xf numFmtId="3" fontId="13" fillId="14" borderId="26" xfId="0" applyNumberFormat="1" applyFont="1" applyFill="1" applyBorder="1" applyAlignment="1">
      <alignment horizontal="center" wrapText="1" readingOrder="1"/>
    </xf>
    <xf numFmtId="3" fontId="0" fillId="0" borderId="1" xfId="1" applyNumberFormat="1" applyFont="1" applyBorder="1" applyAlignment="1">
      <alignment horizontal="center" vertical="center" readingOrder="1"/>
    </xf>
    <xf numFmtId="3" fontId="13" fillId="14" borderId="25" xfId="0" applyNumberFormat="1" applyFont="1" applyFill="1" applyBorder="1" applyAlignment="1">
      <alignment horizontal="center" wrapText="1" readingOrder="1"/>
    </xf>
    <xf numFmtId="3" fontId="1" fillId="2" borderId="13" xfId="0" applyNumberFormat="1" applyFont="1" applyFill="1" applyBorder="1" applyAlignment="1">
      <alignment horizontal="center" wrapText="1" readingOrder="1"/>
    </xf>
    <xf numFmtId="3" fontId="1" fillId="2" borderId="14" xfId="0" applyNumberFormat="1" applyFont="1" applyFill="1" applyBorder="1" applyAlignment="1">
      <alignment horizontal="center" vertical="top" wrapText="1" readingOrder="1"/>
    </xf>
    <xf numFmtId="3" fontId="1" fillId="5" borderId="9" xfId="0" applyNumberFormat="1" applyFont="1" applyFill="1" applyBorder="1" applyAlignment="1">
      <alignment horizontal="center" vertical="center" readingOrder="1"/>
    </xf>
    <xf numFmtId="3" fontId="13" fillId="13" borderId="26" xfId="0" applyNumberFormat="1" applyFont="1" applyFill="1" applyBorder="1" applyAlignment="1">
      <alignment horizontal="center" wrapText="1" readingOrder="1"/>
    </xf>
    <xf numFmtId="3" fontId="1" fillId="5" borderId="0" xfId="0" applyNumberFormat="1" applyFont="1" applyFill="1" applyAlignment="1">
      <alignment horizontal="center" vertical="center" readingOrder="1"/>
    </xf>
    <xf numFmtId="3" fontId="13" fillId="13" borderId="25" xfId="0" applyNumberFormat="1" applyFont="1" applyFill="1" applyBorder="1" applyAlignment="1">
      <alignment horizontal="center" wrapText="1" readingOrder="1"/>
    </xf>
    <xf numFmtId="3" fontId="1" fillId="4" borderId="13" xfId="0" applyNumberFormat="1" applyFont="1" applyFill="1" applyBorder="1" applyAlignment="1">
      <alignment horizontal="center" wrapText="1" readingOrder="1"/>
    </xf>
    <xf numFmtId="3" fontId="1" fillId="4" borderId="14" xfId="0" applyNumberFormat="1" applyFont="1" applyFill="1" applyBorder="1" applyAlignment="1">
      <alignment horizontal="center" vertical="top" wrapText="1" readingOrder="1"/>
    </xf>
    <xf numFmtId="3" fontId="1" fillId="5" borderId="7" xfId="0" applyNumberFormat="1" applyFont="1" applyFill="1" applyBorder="1" applyAlignment="1">
      <alignment horizontal="center" vertical="center" readingOrder="1"/>
    </xf>
    <xf numFmtId="3" fontId="0" fillId="5" borderId="12" xfId="0" applyNumberFormat="1" applyFill="1" applyBorder="1" applyAlignment="1">
      <alignment horizontal="center" vertical="center" readingOrder="1"/>
    </xf>
    <xf numFmtId="3" fontId="13" fillId="10" borderId="26" xfId="0" applyNumberFormat="1" applyFont="1" applyFill="1" applyBorder="1" applyAlignment="1">
      <alignment horizontal="center" wrapText="1" readingOrder="1"/>
    </xf>
    <xf numFmtId="3" fontId="1" fillId="5" borderId="6" xfId="0" applyNumberFormat="1" applyFont="1" applyFill="1" applyBorder="1" applyAlignment="1">
      <alignment horizontal="center" vertical="center" readingOrder="1"/>
    </xf>
    <xf numFmtId="3" fontId="0" fillId="5" borderId="11" xfId="0" applyNumberFormat="1" applyFill="1" applyBorder="1" applyAlignment="1">
      <alignment horizontal="center" vertical="center" readingOrder="1"/>
    </xf>
    <xf numFmtId="3" fontId="13" fillId="10" borderId="25" xfId="0" applyNumberFormat="1" applyFont="1" applyFill="1" applyBorder="1" applyAlignment="1">
      <alignment horizontal="center" wrapText="1" readingOrder="1"/>
    </xf>
    <xf numFmtId="0" fontId="15" fillId="16" borderId="28" xfId="0" applyFont="1" applyFill="1" applyBorder="1" applyAlignment="1">
      <alignment horizontal="center" vertical="center" wrapText="1" readingOrder="1"/>
    </xf>
    <xf numFmtId="0" fontId="15" fillId="16" borderId="29" xfId="0" applyFont="1" applyFill="1" applyBorder="1" applyAlignment="1">
      <alignment horizontal="center" vertical="center" wrapText="1" readingOrder="1"/>
    </xf>
    <xf numFmtId="0" fontId="14" fillId="17" borderId="27" xfId="0" applyFont="1" applyFill="1" applyBorder="1" applyAlignment="1">
      <alignment horizontal="center" vertical="center" wrapText="1" readingOrder="1"/>
    </xf>
    <xf numFmtId="0" fontId="13" fillId="11" borderId="24" xfId="0" applyFont="1" applyFill="1" applyBorder="1" applyAlignment="1">
      <alignment horizontal="left" vertical="center" wrapText="1" readingOrder="1"/>
    </xf>
    <xf numFmtId="0" fontId="13" fillId="11" borderId="25" xfId="0" applyFont="1" applyFill="1" applyBorder="1" applyAlignment="1">
      <alignment horizontal="left" vertical="center" wrapText="1" readingOrder="1"/>
    </xf>
    <xf numFmtId="0" fontId="13" fillId="12" borderId="24" xfId="0" applyFont="1" applyFill="1" applyBorder="1" applyAlignment="1">
      <alignment horizontal="center" vertical="center" wrapText="1" readingOrder="1"/>
    </xf>
    <xf numFmtId="0" fontId="13" fillId="12" borderId="25" xfId="0" applyFont="1" applyFill="1" applyBorder="1" applyAlignment="1">
      <alignment horizontal="center" vertical="center" wrapText="1" readingOrder="1"/>
    </xf>
    <xf numFmtId="0" fontId="13" fillId="15" borderId="24" xfId="0" applyFont="1" applyFill="1" applyBorder="1" applyAlignment="1">
      <alignment horizontal="center" vertical="center" wrapText="1" readingOrder="1"/>
    </xf>
    <xf numFmtId="0" fontId="13" fillId="15" borderId="25" xfId="0" applyFont="1" applyFill="1" applyBorder="1" applyAlignment="1">
      <alignment horizontal="center" vertical="center" wrapText="1" readingOrder="1"/>
    </xf>
    <xf numFmtId="0" fontId="7" fillId="8" borderId="5" xfId="0" applyFont="1" applyFill="1" applyBorder="1" applyAlignment="1">
      <alignment horizontal="center" vertical="center" readingOrder="1"/>
    </xf>
    <xf numFmtId="0" fontId="7" fillId="8" borderId="6" xfId="0" applyFont="1" applyFill="1" applyBorder="1" applyAlignment="1">
      <alignment horizontal="center" vertical="center" readingOrder="1"/>
    </xf>
    <xf numFmtId="0" fontId="7" fillId="8" borderId="7" xfId="0" applyFont="1" applyFill="1" applyBorder="1" applyAlignment="1">
      <alignment horizontal="center" vertical="center" readingOrder="1"/>
    </xf>
    <xf numFmtId="0" fontId="9" fillId="8" borderId="15" xfId="0" applyFont="1" applyFill="1" applyBorder="1" applyAlignment="1">
      <alignment horizontal="center" vertical="top" wrapText="1" readingOrder="1"/>
    </xf>
    <xf numFmtId="0" fontId="9" fillId="8" borderId="16" xfId="0" applyFont="1" applyFill="1" applyBorder="1" applyAlignment="1">
      <alignment horizontal="center" vertical="top" wrapText="1" readingOrder="1"/>
    </xf>
    <xf numFmtId="0" fontId="9" fillId="8" borderId="17" xfId="0" applyFont="1" applyFill="1" applyBorder="1" applyAlignment="1">
      <alignment horizontal="center" vertical="top" wrapText="1" readingOrder="1"/>
    </xf>
    <xf numFmtId="0" fontId="10" fillId="9" borderId="18" xfId="0" applyFont="1" applyFill="1" applyBorder="1" applyAlignment="1">
      <alignment horizontal="center" vertical="center" wrapText="1" readingOrder="1"/>
    </xf>
    <xf numFmtId="0" fontId="10" fillId="9" borderId="19" xfId="0" applyFont="1" applyFill="1" applyBorder="1" applyAlignment="1">
      <alignment horizontal="center" vertical="center" wrapText="1" readingOrder="1"/>
    </xf>
    <xf numFmtId="0" fontId="7" fillId="7" borderId="5" xfId="0" applyFont="1" applyFill="1" applyBorder="1" applyAlignment="1">
      <alignment horizontal="center" vertical="center" readingOrder="1"/>
    </xf>
    <xf numFmtId="0" fontId="7" fillId="7" borderId="6" xfId="0" applyFont="1" applyFill="1" applyBorder="1" applyAlignment="1">
      <alignment horizontal="center" vertical="center" readingOrder="1"/>
    </xf>
    <xf numFmtId="0" fontId="7" fillId="7" borderId="7" xfId="0" applyFont="1" applyFill="1" applyBorder="1" applyAlignment="1">
      <alignment horizontal="center" vertical="center" readingOrder="1"/>
    </xf>
    <xf numFmtId="0" fontId="1" fillId="4" borderId="5" xfId="0" applyFont="1" applyFill="1" applyBorder="1" applyAlignment="1">
      <alignment horizontal="center" vertical="center" readingOrder="1"/>
    </xf>
    <xf numFmtId="0" fontId="1" fillId="4" borderId="6" xfId="0" applyFont="1" applyFill="1" applyBorder="1" applyAlignment="1">
      <alignment horizontal="center" vertical="center" readingOrder="1"/>
    </xf>
    <xf numFmtId="0" fontId="1" fillId="4" borderId="7" xfId="0" applyFont="1" applyFill="1" applyBorder="1" applyAlignment="1">
      <alignment horizontal="center" vertical="center" readingOrder="1"/>
    </xf>
    <xf numFmtId="0" fontId="1" fillId="4" borderId="10" xfId="0" applyFont="1" applyFill="1" applyBorder="1" applyAlignment="1">
      <alignment horizontal="center" vertical="center" readingOrder="1"/>
    </xf>
    <xf numFmtId="0" fontId="1" fillId="4" borderId="11" xfId="0" applyFont="1" applyFill="1" applyBorder="1" applyAlignment="1">
      <alignment horizontal="center" vertical="center" readingOrder="1"/>
    </xf>
    <xf numFmtId="0" fontId="1" fillId="4" borderId="12" xfId="0" applyFont="1" applyFill="1" applyBorder="1" applyAlignment="1">
      <alignment horizontal="center" vertical="center" readingOrder="1"/>
    </xf>
    <xf numFmtId="0" fontId="1" fillId="2" borderId="5" xfId="0" applyFont="1" applyFill="1" applyBorder="1" applyAlignment="1">
      <alignment horizontal="center" vertical="center" readingOrder="1"/>
    </xf>
    <xf numFmtId="0" fontId="1" fillId="2" borderId="6" xfId="0" applyFont="1" applyFill="1" applyBorder="1" applyAlignment="1">
      <alignment horizontal="center" vertical="center" readingOrder="1"/>
    </xf>
    <xf numFmtId="0" fontId="1" fillId="2" borderId="7" xfId="0" applyFont="1" applyFill="1" applyBorder="1" applyAlignment="1">
      <alignment horizontal="center" vertical="center" readingOrder="1"/>
    </xf>
    <xf numFmtId="0" fontId="1" fillId="2" borderId="10" xfId="0" applyFont="1" applyFill="1" applyBorder="1" applyAlignment="1">
      <alignment horizontal="center" vertical="center" readingOrder="1"/>
    </xf>
    <xf numFmtId="0" fontId="1" fillId="2" borderId="11" xfId="0" applyFont="1" applyFill="1" applyBorder="1" applyAlignment="1">
      <alignment horizontal="center" vertical="center" readingOrder="1"/>
    </xf>
    <xf numFmtId="0" fontId="1" fillId="2" borderId="12" xfId="0" applyFont="1" applyFill="1" applyBorder="1" applyAlignment="1">
      <alignment horizontal="center" vertical="center" readingOrder="1"/>
    </xf>
    <xf numFmtId="0" fontId="1" fillId="3" borderId="5" xfId="0" applyFont="1" applyFill="1" applyBorder="1" applyAlignment="1">
      <alignment horizontal="center" vertical="center" readingOrder="1"/>
    </xf>
    <xf numFmtId="0" fontId="1" fillId="3" borderId="6" xfId="0" applyFont="1" applyFill="1" applyBorder="1" applyAlignment="1">
      <alignment horizontal="center" vertical="center" readingOrder="1"/>
    </xf>
    <xf numFmtId="0" fontId="1" fillId="3" borderId="7" xfId="0" applyFont="1" applyFill="1" applyBorder="1" applyAlignment="1">
      <alignment horizontal="center" vertical="center" readingOrder="1"/>
    </xf>
    <xf numFmtId="0" fontId="1" fillId="3" borderId="10" xfId="0" applyFont="1" applyFill="1" applyBorder="1" applyAlignment="1">
      <alignment horizontal="center" vertical="center" readingOrder="1"/>
    </xf>
    <xf numFmtId="0" fontId="1" fillId="3" borderId="11" xfId="0" applyFont="1" applyFill="1" applyBorder="1" applyAlignment="1">
      <alignment horizontal="center" vertical="center" readingOrder="1"/>
    </xf>
    <xf numFmtId="0" fontId="1" fillId="3" borderId="12" xfId="0" applyFont="1" applyFill="1" applyBorder="1" applyAlignment="1">
      <alignment horizontal="center" vertical="center" readingOrder="1"/>
    </xf>
    <xf numFmtId="0" fontId="4" fillId="6" borderId="21" xfId="0" applyFont="1" applyFill="1" applyBorder="1" applyAlignment="1">
      <alignment horizontal="center" vertical="center" wrapText="1" readingOrder="1"/>
    </xf>
    <xf numFmtId="0" fontId="4" fillId="6" borderId="22" xfId="0" applyFont="1" applyFill="1" applyBorder="1" applyAlignment="1">
      <alignment horizontal="center" vertical="center" wrapText="1" readingOrder="1"/>
    </xf>
    <xf numFmtId="0" fontId="9" fillId="7" borderId="15" xfId="0" applyFont="1" applyFill="1" applyBorder="1" applyAlignment="1">
      <alignment horizontal="center" vertical="top" wrapText="1" readingOrder="1"/>
    </xf>
    <xf numFmtId="0" fontId="9" fillId="7" borderId="16" xfId="0" applyFont="1" applyFill="1" applyBorder="1" applyAlignment="1">
      <alignment horizontal="center" vertical="top" wrapText="1" readingOrder="1"/>
    </xf>
    <xf numFmtId="0" fontId="9" fillId="7" borderId="17" xfId="0" applyFont="1" applyFill="1" applyBorder="1" applyAlignment="1">
      <alignment horizontal="center" vertical="top" wrapText="1" readingOrder="1"/>
    </xf>
    <xf numFmtId="0" fontId="6" fillId="4" borderId="2" xfId="0" applyFont="1" applyFill="1" applyBorder="1" applyAlignment="1">
      <alignment horizontal="center" vertical="center" readingOrder="1"/>
    </xf>
    <xf numFmtId="0" fontId="6" fillId="4" borderId="4" xfId="0" applyFont="1" applyFill="1" applyBorder="1" applyAlignment="1">
      <alignment horizontal="center" vertical="center" readingOrder="1"/>
    </xf>
    <xf numFmtId="0" fontId="6" fillId="4" borderId="3" xfId="0" applyFont="1" applyFill="1" applyBorder="1" applyAlignment="1">
      <alignment horizontal="center" vertical="center" readingOrder="1"/>
    </xf>
    <xf numFmtId="0" fontId="6" fillId="2" borderId="2" xfId="0" applyFont="1" applyFill="1" applyBorder="1" applyAlignment="1">
      <alignment horizontal="center" vertical="center" readingOrder="1"/>
    </xf>
    <xf numFmtId="0" fontId="6" fillId="2" borderId="4" xfId="0" applyFont="1" applyFill="1" applyBorder="1" applyAlignment="1">
      <alignment horizontal="center" vertical="center" readingOrder="1"/>
    </xf>
    <xf numFmtId="0" fontId="6" fillId="2" borderId="3" xfId="0" applyFont="1" applyFill="1" applyBorder="1" applyAlignment="1">
      <alignment horizontal="center" vertical="center" readingOrder="1"/>
    </xf>
    <xf numFmtId="0" fontId="6" fillId="3" borderId="2" xfId="0" applyFont="1" applyFill="1" applyBorder="1" applyAlignment="1">
      <alignment horizontal="center" vertical="center" readingOrder="1"/>
    </xf>
    <xf numFmtId="0" fontId="6" fillId="3" borderId="4" xfId="0" applyFont="1" applyFill="1" applyBorder="1" applyAlignment="1">
      <alignment horizontal="center" vertical="center" readingOrder="1"/>
    </xf>
    <xf numFmtId="0" fontId="6" fillId="3" borderId="3" xfId="0" applyFont="1" applyFill="1" applyBorder="1" applyAlignment="1">
      <alignment horizontal="center" vertical="center" readingOrder="1"/>
    </xf>
  </cellXfs>
  <cellStyles count="2">
    <cellStyle name="Comma" xfId="1" builtinId="3"/>
    <cellStyle name="Normal" xfId="0" builtinId="0"/>
  </cellStyles>
  <dxfs count="291"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DEFE7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ont>
        <color rgb="FFC00000"/>
      </font>
      <fill>
        <patternFill>
          <bgColor rgb="FFFDEFE7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</dxfs>
  <tableStyles count="1" defaultTableStyle="TableStyleMedium2" defaultPivotStyle="PivotStyleLight16">
    <tableStyle name="Invisible" pivot="0" table="0" count="0" xr9:uid="{6448B85B-88AA-479C-B2EB-4AE68ABABC3B}"/>
  </tableStyles>
  <colors>
    <mruColors>
      <color rgb="FFFDEFE7"/>
      <color rgb="FFFFD9D9"/>
      <color rgb="FFFEFDD7"/>
      <color rgb="FF28467C"/>
      <color rgb="FF8066A6"/>
      <color rgb="FF554272"/>
      <color rgb="FFF9F307"/>
      <color rgb="FFDCFEDA"/>
      <color rgb="FF11C808"/>
      <color rgb="FFD4E8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34188-21AD-4C8D-ADC8-070502EDCBA3}">
  <sheetPr codeName="Sheet1"/>
  <dimension ref="A1:AL44"/>
  <sheetViews>
    <sheetView tabSelected="1" workbookViewId="0">
      <pane ySplit="5" topLeftCell="A6" activePane="bottomLeft" state="frozen"/>
      <selection activeCell="B2" sqref="B2"/>
      <selection pane="bottomLeft" activeCell="B2" sqref="B2"/>
    </sheetView>
  </sheetViews>
  <sheetFormatPr defaultColWidth="8.85546875" defaultRowHeight="15" x14ac:dyDescent="0.25"/>
  <cols>
    <col min="1" max="1" width="2.140625" style="17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f>SUM('Store 1:Store 20'!W6)</f>
        <v>179100</v>
      </c>
      <c r="X6" s="7">
        <f>SUM('Store 1:Store 20'!X6)</f>
        <v>69300</v>
      </c>
      <c r="Y6" s="8">
        <f>SUM('Store 1:Store 20'!X6)/SUM('Store 1:Store 20'!W6)</f>
        <v>0.38693467336683418</v>
      </c>
      <c r="Z6" s="64">
        <f>SUM('Store 1:Store 20'!Z6)</f>
        <v>4620</v>
      </c>
      <c r="AA6" s="64">
        <f>SUM('Store 1:Store 20'!AA6)</f>
        <v>0</v>
      </c>
      <c r="AB6" s="64">
        <f>SUM('Store 1:Store 20'!AB6)</f>
        <v>4620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f>SUM('Store 1:Store 20'!W7)</f>
        <v>179120</v>
      </c>
      <c r="X7" s="7">
        <f>SUM('Store 1:Store 20'!X7)</f>
        <v>65100</v>
      </c>
      <c r="Y7" s="8">
        <f>SUM('Store 1:Store 20'!X7)/SUM('Store 1:Store 20'!W7)</f>
        <v>0.36344350156319788</v>
      </c>
      <c r="Z7" s="64">
        <f>SUM('Store 1:Store 20'!Z7)</f>
        <v>4340</v>
      </c>
      <c r="AA7" s="64">
        <f>SUM('Store 1:Store 20'!AA7)</f>
        <v>0</v>
      </c>
      <c r="AB7" s="64">
        <f>SUM('Store 1:Store 20'!AB7)</f>
        <v>4340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f>SUM('Store 1:Store 20'!E8)</f>
        <v>605180</v>
      </c>
      <c r="F8" s="7">
        <f>SUM('Store 1:Store 20'!F8)</f>
        <v>156900</v>
      </c>
      <c r="G8" s="8">
        <f>SUM('Store 1:Store 20'!F8)/SUM('Store 1:Store 20'!E8)</f>
        <v>0.25926170726064973</v>
      </c>
      <c r="H8" s="64">
        <f>SUM('Store 1:Store 20'!H8)</f>
        <v>10460</v>
      </c>
      <c r="I8" s="64">
        <f>SUM('Store 1:Store 20'!I8)</f>
        <v>0</v>
      </c>
      <c r="J8" s="64">
        <f>SUM('Store 1:Store 20'!J8)</f>
        <v>10460</v>
      </c>
      <c r="L8" s="5">
        <f ca="1">$L7+1</f>
        <v>44836</v>
      </c>
      <c r="M8" s="6" t="str">
        <f t="shared" ca="1" si="2"/>
        <v>Su</v>
      </c>
      <c r="N8" s="7">
        <f>SUM('Store 1:Store 20'!N8)</f>
        <v>573260</v>
      </c>
      <c r="O8" s="7">
        <f>SUM('Store 1:Store 20'!O8)</f>
        <v>161400</v>
      </c>
      <c r="P8" s="8">
        <f>SUM('Store 1:Store 20'!O8)/SUM('Store 1:Store 20'!N8)</f>
        <v>0.28154763981439485</v>
      </c>
      <c r="Q8" s="64">
        <f>SUM('Store 1:Store 20'!Q8)</f>
        <v>10760</v>
      </c>
      <c r="R8" s="64">
        <f>SUM('Store 1:Store 20'!R8)</f>
        <v>0</v>
      </c>
      <c r="S8" s="64">
        <f>SUM('Store 1:Store 20'!S8)</f>
        <v>10760</v>
      </c>
      <c r="T8" s="4"/>
      <c r="U8" s="5">
        <f ca="1">C8-728</f>
        <v>44472</v>
      </c>
      <c r="V8" s="6" t="str">
        <f t="shared" ca="1" si="1"/>
        <v>Su</v>
      </c>
      <c r="W8" s="7">
        <f>SUM('Store 1:Store 20'!W8)</f>
        <v>541340</v>
      </c>
      <c r="X8" s="7">
        <f>SUM('Store 1:Store 20'!X8)</f>
        <v>163200</v>
      </c>
      <c r="Y8" s="8">
        <f>SUM('Store 1:Store 20'!X8)/SUM('Store 1:Store 20'!W8)</f>
        <v>0.30147411977685001</v>
      </c>
      <c r="Z8" s="67">
        <f>SUM('Store 1:Store 20'!Z8)</f>
        <v>10880</v>
      </c>
      <c r="AA8" s="64">
        <f>SUM('Store 1:Store 20'!AA8)</f>
        <v>0</v>
      </c>
      <c r="AB8" s="64">
        <f>SUM('Store 1:Store 20'!AB8)</f>
        <v>10880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f>SUM('Store 1:Store 20'!E9)</f>
        <v>651920</v>
      </c>
      <c r="F9" s="7">
        <f>SUM('Store 1:Store 20'!F9)</f>
        <v>183000</v>
      </c>
      <c r="G9" s="8">
        <f>SUM('Store 1:Store 20'!F9)/SUM('Store 1:Store 20'!E9)</f>
        <v>0.2807092894833722</v>
      </c>
      <c r="H9" s="64">
        <f>SUM('Store 1:Store 20'!H9)</f>
        <v>12200</v>
      </c>
      <c r="I9" s="64">
        <f>SUM('Store 1:Store 20'!I9)</f>
        <v>500</v>
      </c>
      <c r="J9" s="64">
        <f>SUM('Store 1:Store 20'!J9)</f>
        <v>12700</v>
      </c>
      <c r="L9" s="5">
        <f t="shared" ref="L9:L38" ca="1" si="5">$L8+1</f>
        <v>44837</v>
      </c>
      <c r="M9" s="6" t="str">
        <f t="shared" ca="1" si="2"/>
        <v>M</v>
      </c>
      <c r="N9" s="7">
        <f>SUM('Store 1:Store 20'!N9)</f>
        <v>634040</v>
      </c>
      <c r="O9" s="7">
        <f>SUM('Store 1:Store 20'!O9)</f>
        <v>175200</v>
      </c>
      <c r="P9" s="8">
        <f>SUM('Store 1:Store 20'!O9)/SUM('Store 1:Store 20'!N9)</f>
        <v>0.27632326036212224</v>
      </c>
      <c r="Q9" s="64">
        <f>SUM('Store 1:Store 20'!Q9)</f>
        <v>11680</v>
      </c>
      <c r="R9" s="64">
        <f>SUM('Store 1:Store 20'!R9)</f>
        <v>300</v>
      </c>
      <c r="S9" s="64">
        <f>SUM('Store 1:Store 20'!S9)</f>
        <v>11980</v>
      </c>
      <c r="T9" s="4"/>
      <c r="U9" s="5">
        <f t="shared" ref="U9:U38" ca="1" si="6">$U8+1</f>
        <v>44473</v>
      </c>
      <c r="V9" s="6" t="str">
        <f t="shared" ca="1" si="1"/>
        <v>M</v>
      </c>
      <c r="W9" s="7">
        <f>SUM('Store 1:Store 20'!W9)</f>
        <v>616160</v>
      </c>
      <c r="X9" s="7">
        <f>SUM('Store 1:Store 20'!X9)</f>
        <v>172500</v>
      </c>
      <c r="Y9" s="8">
        <f>SUM('Store 1:Store 20'!X9)/SUM('Store 1:Store 20'!W9)</f>
        <v>0.27995975071410023</v>
      </c>
      <c r="Z9" s="67">
        <f>SUM('Store 1:Store 20'!Z9)</f>
        <v>11500</v>
      </c>
      <c r="AA9" s="64">
        <f>SUM('Store 1:Store 20'!AA9)</f>
        <v>600</v>
      </c>
      <c r="AB9" s="64">
        <f>SUM('Store 1:Store 20'!AB9)</f>
        <v>12100</v>
      </c>
      <c r="AD9" s="5">
        <f t="shared" ref="AD9:AD39" ca="1" si="7">$L9</f>
        <v>44837</v>
      </c>
      <c r="AE9" s="6" t="str">
        <f t="shared" ref="AE9:AE38" ca="1" si="8">D9</f>
        <v>M</v>
      </c>
      <c r="AF9" s="40">
        <f t="shared" ref="AF9:AF38" si="9">(E9-N9)/N9</f>
        <v>2.8200113557504257E-2</v>
      </c>
      <c r="AG9" s="40">
        <f t="shared" ref="AG9:AG38" si="10">(F9-O9)/O9</f>
        <v>4.4520547945205477E-2</v>
      </c>
      <c r="AI9" s="5">
        <f t="shared" ref="AI9:AI39" ca="1" si="11">$U9</f>
        <v>44473</v>
      </c>
      <c r="AJ9" s="6" t="str">
        <f t="shared" ref="AJ9:AJ38" ca="1" si="12">V9</f>
        <v>M</v>
      </c>
      <c r="AK9" s="40">
        <f t="shared" ref="AK9:AK38" si="13">($E9-W9)/W9</f>
        <v>5.8036873539340429E-2</v>
      </c>
      <c r="AL9" s="40">
        <f t="shared" ref="AL9:AL38" si="14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7" ca="1" si="15">C9+1</f>
        <v>45202</v>
      </c>
      <c r="D10" s="6" t="str">
        <f t="shared" ca="1" si="3"/>
        <v>Tu</v>
      </c>
      <c r="E10" s="7">
        <f>SUM('Store 1:Store 20'!E10)</f>
        <v>251260</v>
      </c>
      <c r="F10" s="7">
        <f>SUM('Store 1:Store 20'!F10)</f>
        <v>45000</v>
      </c>
      <c r="G10" s="8">
        <f>SUM('Store 1:Store 20'!F10)/SUM('Store 1:Store 20'!E10)</f>
        <v>0.1790973493592295</v>
      </c>
      <c r="H10" s="64">
        <f>SUM('Store 1:Store 20'!H10)</f>
        <v>3000</v>
      </c>
      <c r="I10" s="64">
        <f>SUM('Store 1:Store 20'!I10)</f>
        <v>0</v>
      </c>
      <c r="J10" s="64">
        <f>SUM('Store 1:Store 20'!J10)</f>
        <v>3000</v>
      </c>
      <c r="L10" s="5">
        <f t="shared" ca="1" si="5"/>
        <v>44838</v>
      </c>
      <c r="M10" s="6" t="str">
        <f t="shared" ca="1" si="2"/>
        <v>Tu</v>
      </c>
      <c r="N10" s="7">
        <f>SUM('Store 1:Store 20'!N10)</f>
        <v>321160</v>
      </c>
      <c r="O10" s="7">
        <f>SUM('Store 1:Store 20'!O10)</f>
        <v>47700</v>
      </c>
      <c r="P10" s="8">
        <f>SUM('Store 1:Store 20'!O10)/SUM('Store 1:Store 20'!N10)</f>
        <v>0.14852410013700337</v>
      </c>
      <c r="Q10" s="64">
        <f>SUM('Store 1:Store 20'!Q10)</f>
        <v>3180</v>
      </c>
      <c r="R10" s="64">
        <f>SUM('Store 1:Store 20'!R10)</f>
        <v>0</v>
      </c>
      <c r="S10" s="64">
        <f>SUM('Store 1:Store 20'!S10)</f>
        <v>3180</v>
      </c>
      <c r="T10" s="4"/>
      <c r="U10" s="5">
        <f t="shared" ca="1" si="6"/>
        <v>44474</v>
      </c>
      <c r="V10" s="6" t="str">
        <f t="shared" ca="1" si="1"/>
        <v>Tu</v>
      </c>
      <c r="W10" s="7">
        <f>SUM('Store 1:Store 20'!W10)</f>
        <v>391060</v>
      </c>
      <c r="X10" s="7">
        <f>SUM('Store 1:Store 20'!X10)</f>
        <v>49500</v>
      </c>
      <c r="Y10" s="8">
        <f>SUM('Store 1:Store 20'!X10)/SUM('Store 1:Store 20'!W10)</f>
        <v>0.12657904157929731</v>
      </c>
      <c r="Z10" s="67">
        <f>SUM('Store 1:Store 20'!Z10)</f>
        <v>3300</v>
      </c>
      <c r="AA10" s="64">
        <f>SUM('Store 1:Store 20'!AA10)</f>
        <v>0</v>
      </c>
      <c r="AB10" s="64">
        <f>SUM('Store 1:Store 20'!AB10)</f>
        <v>3300</v>
      </c>
      <c r="AD10" s="5">
        <f t="shared" ca="1" si="7"/>
        <v>44838</v>
      </c>
      <c r="AE10" s="6" t="str">
        <f t="shared" ca="1" si="8"/>
        <v>Tu</v>
      </c>
      <c r="AF10" s="40">
        <f t="shared" si="9"/>
        <v>-0.21764852410013699</v>
      </c>
      <c r="AG10" s="40">
        <f t="shared" si="10"/>
        <v>-5.6603773584905662E-2</v>
      </c>
      <c r="AI10" s="5">
        <f t="shared" ca="1" si="11"/>
        <v>44474</v>
      </c>
      <c r="AJ10" s="6" t="str">
        <f t="shared" ca="1" si="12"/>
        <v>Tu</v>
      </c>
      <c r="AK10" s="40">
        <f t="shared" si="13"/>
        <v>-0.35748989924819718</v>
      </c>
      <c r="AL10" s="40">
        <f t="shared" si="14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15"/>
        <v>45203</v>
      </c>
      <c r="D11" s="6" t="str">
        <f t="shared" ca="1" si="3"/>
        <v>W</v>
      </c>
      <c r="E11" s="7">
        <f>SUM('Store 1:Store 20'!E11)</f>
        <v>571380</v>
      </c>
      <c r="F11" s="7">
        <f>SUM('Store 1:Store 20'!F11)</f>
        <v>151800</v>
      </c>
      <c r="G11" s="8">
        <f>SUM('Store 1:Store 20'!F11)/SUM('Store 1:Store 20'!E11)</f>
        <v>0.26567258216948442</v>
      </c>
      <c r="H11" s="64">
        <f>SUM('Store 1:Store 20'!H11)</f>
        <v>10120</v>
      </c>
      <c r="I11" s="64">
        <f>SUM('Store 1:Store 20'!I11)</f>
        <v>0</v>
      </c>
      <c r="J11" s="64">
        <f>SUM('Store 1:Store 20'!J11)</f>
        <v>10120</v>
      </c>
      <c r="L11" s="5">
        <f t="shared" ca="1" si="5"/>
        <v>44839</v>
      </c>
      <c r="M11" s="6" t="str">
        <f t="shared" ca="1" si="2"/>
        <v>W</v>
      </c>
      <c r="N11" s="7">
        <f>SUM('Store 1:Store 20'!N11)</f>
        <v>584140</v>
      </c>
      <c r="O11" s="7">
        <f>SUM('Store 1:Store 20'!O11)</f>
        <v>160500</v>
      </c>
      <c r="P11" s="8">
        <f>SUM('Store 1:Store 20'!O11)/SUM('Store 1:Store 20'!N11)</f>
        <v>0.27476289930496112</v>
      </c>
      <c r="Q11" s="64">
        <f>SUM('Store 1:Store 20'!Q11)</f>
        <v>10700</v>
      </c>
      <c r="R11" s="64">
        <f>SUM('Store 1:Store 20'!R11)</f>
        <v>0</v>
      </c>
      <c r="S11" s="64">
        <f>SUM('Store 1:Store 20'!S11)</f>
        <v>10700</v>
      </c>
      <c r="T11" s="4"/>
      <c r="U11" s="5">
        <f t="shared" ca="1" si="6"/>
        <v>44475</v>
      </c>
      <c r="V11" s="6" t="str">
        <f t="shared" ca="1" si="1"/>
        <v>W</v>
      </c>
      <c r="W11" s="7">
        <f>SUM('Store 1:Store 20'!W11)</f>
        <v>596900</v>
      </c>
      <c r="X11" s="7">
        <f>SUM('Store 1:Store 20'!X11)</f>
        <v>157800</v>
      </c>
      <c r="Y11" s="8">
        <f>SUM('Store 1:Store 20'!X11)/SUM('Store 1:Store 20'!W11)</f>
        <v>0.26436589043390851</v>
      </c>
      <c r="Z11" s="67">
        <f>SUM('Store 1:Store 20'!Z11)</f>
        <v>10520</v>
      </c>
      <c r="AA11" s="64">
        <f>SUM('Store 1:Store 20'!AA11)</f>
        <v>0</v>
      </c>
      <c r="AB11" s="64">
        <f>SUM('Store 1:Store 20'!AB11)</f>
        <v>10520</v>
      </c>
      <c r="AD11" s="5">
        <f t="shared" ca="1" si="7"/>
        <v>44839</v>
      </c>
      <c r="AE11" s="6" t="str">
        <f t="shared" ca="1" si="8"/>
        <v>W</v>
      </c>
      <c r="AF11" s="40">
        <f t="shared" si="9"/>
        <v>-2.1844078474338342E-2</v>
      </c>
      <c r="AG11" s="40">
        <f t="shared" si="10"/>
        <v>-5.4205607476635512E-2</v>
      </c>
      <c r="AI11" s="5">
        <f t="shared" ca="1" si="11"/>
        <v>44475</v>
      </c>
      <c r="AJ11" s="6" t="str">
        <f t="shared" ca="1" si="12"/>
        <v>W</v>
      </c>
      <c r="AK11" s="40">
        <f t="shared" si="13"/>
        <v>-4.2754230189311446E-2</v>
      </c>
      <c r="AL11" s="40">
        <f t="shared" si="14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15"/>
        <v>45204</v>
      </c>
      <c r="D12" s="6" t="str">
        <f t="shared" ca="1" si="3"/>
        <v>Th</v>
      </c>
      <c r="E12" s="7">
        <f>SUM('Store 1:Store 20'!E12)</f>
        <v>712580</v>
      </c>
      <c r="F12" s="7">
        <f>SUM('Store 1:Store 20'!F12)</f>
        <v>153000</v>
      </c>
      <c r="G12" s="8">
        <f>SUM('Store 1:Store 20'!F12)/SUM('Store 1:Store 20'!E12)</f>
        <v>0.21471273400881305</v>
      </c>
      <c r="H12" s="64">
        <f>SUM('Store 1:Store 20'!H12)</f>
        <v>10200</v>
      </c>
      <c r="I12" s="64">
        <f>SUM('Store 1:Store 20'!I12)</f>
        <v>0</v>
      </c>
      <c r="J12" s="64">
        <f>SUM('Store 1:Store 20'!J12)</f>
        <v>10200</v>
      </c>
      <c r="L12" s="5">
        <f t="shared" ca="1" si="5"/>
        <v>44840</v>
      </c>
      <c r="M12" s="6" t="str">
        <f t="shared" ca="1" si="2"/>
        <v>Th</v>
      </c>
      <c r="N12" s="7">
        <f>SUM('Store 1:Store 20'!N12)</f>
        <v>673940</v>
      </c>
      <c r="O12" s="7">
        <f>SUM('Store 1:Store 20'!O12)</f>
        <v>159300</v>
      </c>
      <c r="P12" s="8">
        <f>SUM('Store 1:Store 20'!O12)/SUM('Store 1:Store 20'!N12)</f>
        <v>0.23637119031367779</v>
      </c>
      <c r="Q12" s="64">
        <f>SUM('Store 1:Store 20'!Q12)</f>
        <v>10620</v>
      </c>
      <c r="R12" s="64">
        <f>SUM('Store 1:Store 20'!R12)</f>
        <v>0</v>
      </c>
      <c r="S12" s="64">
        <f>SUM('Store 1:Store 20'!S12)</f>
        <v>10620</v>
      </c>
      <c r="T12" s="4"/>
      <c r="U12" s="5">
        <f t="shared" ca="1" si="6"/>
        <v>44476</v>
      </c>
      <c r="V12" s="6" t="str">
        <f t="shared" ca="1" si="1"/>
        <v>Th</v>
      </c>
      <c r="W12" s="7">
        <f>SUM('Store 1:Store 20'!W12)</f>
        <v>635300</v>
      </c>
      <c r="X12" s="7">
        <f>SUM('Store 1:Store 20'!X12)</f>
        <v>161100</v>
      </c>
      <c r="Y12" s="8">
        <f>SUM('Store 1:Store 20'!X12)/SUM('Store 1:Store 20'!W12)</f>
        <v>0.25358098536124668</v>
      </c>
      <c r="Z12" s="67">
        <f>SUM('Store 1:Store 20'!Z12)</f>
        <v>10740</v>
      </c>
      <c r="AA12" s="64">
        <f>SUM('Store 1:Store 20'!AA12)</f>
        <v>0</v>
      </c>
      <c r="AB12" s="64">
        <f>SUM('Store 1:Store 20'!AB12)</f>
        <v>10740</v>
      </c>
      <c r="AD12" s="5">
        <f t="shared" ca="1" si="7"/>
        <v>44840</v>
      </c>
      <c r="AE12" s="6" t="str">
        <f t="shared" ca="1" si="8"/>
        <v>Th</v>
      </c>
      <c r="AF12" s="40">
        <f t="shared" si="9"/>
        <v>5.7334480814315816E-2</v>
      </c>
      <c r="AG12" s="40">
        <f t="shared" si="10"/>
        <v>-3.954802259887006E-2</v>
      </c>
      <c r="AI12" s="5">
        <f t="shared" ca="1" si="11"/>
        <v>44476</v>
      </c>
      <c r="AJ12" s="6" t="str">
        <f t="shared" ca="1" si="12"/>
        <v>Th</v>
      </c>
      <c r="AK12" s="40">
        <f t="shared" si="13"/>
        <v>0.12164331811742483</v>
      </c>
      <c r="AL12" s="40">
        <f t="shared" si="14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15"/>
        <v>45205</v>
      </c>
      <c r="D13" s="6" t="str">
        <f t="shared" ca="1" si="3"/>
        <v>F</v>
      </c>
      <c r="E13" s="7">
        <f>SUM('Store 1:Store 20'!E13)</f>
        <v>605180</v>
      </c>
      <c r="F13" s="7">
        <f>SUM('Store 1:Store 20'!F13)</f>
        <v>165000</v>
      </c>
      <c r="G13" s="8">
        <f>SUM('Store 1:Store 20'!F13)/SUM('Store 1:Store 20'!E13)</f>
        <v>0.27264615486301597</v>
      </c>
      <c r="H13" s="64">
        <f>SUM('Store 1:Store 20'!H13)</f>
        <v>11000</v>
      </c>
      <c r="I13" s="64">
        <f>SUM('Store 1:Store 20'!I13)</f>
        <v>0</v>
      </c>
      <c r="J13" s="64">
        <f>SUM('Store 1:Store 20'!J13)</f>
        <v>11000</v>
      </c>
      <c r="L13" s="5">
        <f t="shared" ca="1" si="5"/>
        <v>44841</v>
      </c>
      <c r="M13" s="6" t="str">
        <f t="shared" ca="1" si="2"/>
        <v>F</v>
      </c>
      <c r="N13" s="7">
        <f>SUM('Store 1:Store 20'!N13)</f>
        <v>533940</v>
      </c>
      <c r="O13" s="7">
        <f>SUM('Store 1:Store 20'!O13)</f>
        <v>163500</v>
      </c>
      <c r="P13" s="8">
        <f>SUM('Store 1:Store 20'!O13)/SUM('Store 1:Store 20'!N13)</f>
        <v>0.30621418136869311</v>
      </c>
      <c r="Q13" s="64">
        <f>SUM('Store 1:Store 20'!Q13)</f>
        <v>10900</v>
      </c>
      <c r="R13" s="64">
        <f>SUM('Store 1:Store 20'!R13)</f>
        <v>0</v>
      </c>
      <c r="S13" s="64">
        <f>SUM('Store 1:Store 20'!S13)</f>
        <v>10900</v>
      </c>
      <c r="T13" s="4"/>
      <c r="U13" s="5">
        <f t="shared" ca="1" si="6"/>
        <v>44477</v>
      </c>
      <c r="V13" s="6" t="str">
        <f t="shared" ca="1" si="1"/>
        <v>F</v>
      </c>
      <c r="W13" s="7">
        <f>SUM('Store 1:Store 20'!W13)</f>
        <v>462700</v>
      </c>
      <c r="X13" s="7">
        <f>SUM('Store 1:Store 20'!X13)</f>
        <v>160800</v>
      </c>
      <c r="Y13" s="8">
        <f>SUM('Store 1:Store 20'!X13)/SUM('Store 1:Store 20'!W13)</f>
        <v>0.34752539442403285</v>
      </c>
      <c r="Z13" s="67">
        <f>SUM('Store 1:Store 20'!Z13)</f>
        <v>10720</v>
      </c>
      <c r="AA13" s="64">
        <f>SUM('Store 1:Store 20'!AA13)</f>
        <v>0</v>
      </c>
      <c r="AB13" s="64">
        <f>SUM('Store 1:Store 20'!AB13)</f>
        <v>10720</v>
      </c>
      <c r="AD13" s="5">
        <f t="shared" ca="1" si="7"/>
        <v>44841</v>
      </c>
      <c r="AE13" s="6" t="str">
        <f t="shared" ca="1" si="8"/>
        <v>F</v>
      </c>
      <c r="AF13" s="40">
        <f t="shared" si="9"/>
        <v>0.13342323107465259</v>
      </c>
      <c r="AG13" s="40">
        <f t="shared" si="10"/>
        <v>9.1743119266055051E-3</v>
      </c>
      <c r="AI13" s="5">
        <f t="shared" ca="1" si="11"/>
        <v>44477</v>
      </c>
      <c r="AJ13" s="6" t="str">
        <f t="shared" ca="1" si="12"/>
        <v>F</v>
      </c>
      <c r="AK13" s="40">
        <f t="shared" si="13"/>
        <v>0.30793170520855845</v>
      </c>
      <c r="AL13" s="40">
        <f t="shared" si="14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15"/>
        <v>45206</v>
      </c>
      <c r="D14" s="6" t="str">
        <f t="shared" ca="1" si="3"/>
        <v>S</v>
      </c>
      <c r="E14" s="7">
        <f>SUM('Store 1:Store 20'!E14)</f>
        <v>750480</v>
      </c>
      <c r="F14" s="7">
        <f>SUM('Store 1:Store 20'!F14)</f>
        <v>166500</v>
      </c>
      <c r="G14" s="8">
        <f>SUM('Store 1:Store 20'!F14)/SUM('Store 1:Store 20'!E14)</f>
        <v>0.22185801087304124</v>
      </c>
      <c r="H14" s="64">
        <f>SUM('Store 1:Store 20'!H14)</f>
        <v>11100</v>
      </c>
      <c r="I14" s="64">
        <f>SUM('Store 1:Store 20'!I14)</f>
        <v>0</v>
      </c>
      <c r="J14" s="64">
        <f>SUM('Store 1:Store 20'!J14)</f>
        <v>11100</v>
      </c>
      <c r="L14" s="5">
        <f t="shared" ca="1" si="5"/>
        <v>44842</v>
      </c>
      <c r="M14" s="6" t="str">
        <f t="shared" ca="1" si="2"/>
        <v>S</v>
      </c>
      <c r="N14" s="7">
        <f>SUM('Store 1:Store 20'!N14)</f>
        <v>800760</v>
      </c>
      <c r="O14" s="7">
        <f>SUM('Store 1:Store 20'!O14)</f>
        <v>170100</v>
      </c>
      <c r="P14" s="8">
        <f>SUM('Store 1:Store 20'!O14)/SUM('Store 1:Store 20'!N14)</f>
        <v>0.21242319796193615</v>
      </c>
      <c r="Q14" s="64">
        <f>SUM('Store 1:Store 20'!Q14)</f>
        <v>11340</v>
      </c>
      <c r="R14" s="64">
        <f>SUM('Store 1:Store 20'!R14)</f>
        <v>0</v>
      </c>
      <c r="S14" s="64">
        <f>SUM('Store 1:Store 20'!S14)</f>
        <v>11340</v>
      </c>
      <c r="T14" s="4"/>
      <c r="U14" s="5">
        <f t="shared" ca="1" si="6"/>
        <v>44478</v>
      </c>
      <c r="V14" s="6" t="str">
        <f t="shared" ca="1" si="1"/>
        <v>S</v>
      </c>
      <c r="W14" s="7">
        <f>SUM('Store 1:Store 20'!W14)</f>
        <v>851040</v>
      </c>
      <c r="X14" s="7">
        <f>SUM('Store 1:Store 20'!X14)</f>
        <v>171900</v>
      </c>
      <c r="Y14" s="8">
        <f>SUM('Store 1:Store 20'!X14)/SUM('Store 1:Store 20'!W14)</f>
        <v>0.2019881556683587</v>
      </c>
      <c r="Z14" s="67">
        <f>SUM('Store 1:Store 20'!Z14)</f>
        <v>11460</v>
      </c>
      <c r="AA14" s="64">
        <f>SUM('Store 1:Store 20'!AA14)</f>
        <v>0</v>
      </c>
      <c r="AB14" s="64">
        <f>SUM('Store 1:Store 20'!AB14)</f>
        <v>11460</v>
      </c>
      <c r="AD14" s="5">
        <f t="shared" ca="1" si="7"/>
        <v>44842</v>
      </c>
      <c r="AE14" s="6" t="str">
        <f t="shared" ca="1" si="8"/>
        <v>S</v>
      </c>
      <c r="AF14" s="40">
        <f t="shared" si="9"/>
        <v>-6.2790349168290127E-2</v>
      </c>
      <c r="AG14" s="40">
        <f t="shared" si="10"/>
        <v>-2.1164021164021163E-2</v>
      </c>
      <c r="AI14" s="5">
        <f t="shared" ca="1" si="11"/>
        <v>44478</v>
      </c>
      <c r="AJ14" s="6" t="str">
        <f t="shared" ca="1" si="12"/>
        <v>S</v>
      </c>
      <c r="AK14" s="40">
        <f t="shared" si="13"/>
        <v>-0.11816130851663846</v>
      </c>
      <c r="AL14" s="40">
        <f t="shared" si="14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15"/>
        <v>45207</v>
      </c>
      <c r="D15" s="6" t="str">
        <f t="shared" ca="1" si="3"/>
        <v>Su</v>
      </c>
      <c r="E15" s="7">
        <f>SUM('Store 1:Store 20'!E15)</f>
        <v>987240</v>
      </c>
      <c r="F15" s="7">
        <f>SUM('Store 1:Store 20'!F15)</f>
        <v>172500</v>
      </c>
      <c r="G15" s="8">
        <f>SUM('Store 1:Store 20'!F15)/SUM('Store 1:Store 20'!E15)</f>
        <v>0.17472954904582472</v>
      </c>
      <c r="H15" s="64">
        <f>SUM('Store 1:Store 20'!H15)</f>
        <v>11500</v>
      </c>
      <c r="I15" s="64">
        <f>SUM('Store 1:Store 20'!I15)</f>
        <v>0</v>
      </c>
      <c r="J15" s="64">
        <f>SUM('Store 1:Store 20'!J15)</f>
        <v>11500</v>
      </c>
      <c r="L15" s="5">
        <f t="shared" ca="1" si="5"/>
        <v>44843</v>
      </c>
      <c r="M15" s="6" t="str">
        <f t="shared" ca="1" si="2"/>
        <v>Su</v>
      </c>
      <c r="N15" s="7">
        <f>SUM('Store 1:Store 20'!N15)</f>
        <v>955320</v>
      </c>
      <c r="O15" s="7">
        <f>SUM('Store 1:Store 20'!O15)</f>
        <v>168600</v>
      </c>
      <c r="P15" s="8">
        <f>SUM('Store 1:Store 20'!O15)/SUM('Store 1:Store 20'!N15)</f>
        <v>0.17648536616003016</v>
      </c>
      <c r="Q15" s="64">
        <f>SUM('Store 1:Store 20'!Q15)</f>
        <v>11240</v>
      </c>
      <c r="R15" s="64">
        <f>SUM('Store 1:Store 20'!R15)</f>
        <v>0</v>
      </c>
      <c r="S15" s="64">
        <f>SUM('Store 1:Store 20'!S15)</f>
        <v>11240</v>
      </c>
      <c r="T15" s="4"/>
      <c r="U15" s="5">
        <f t="shared" ca="1" si="6"/>
        <v>44479</v>
      </c>
      <c r="V15" s="6" t="str">
        <f t="shared" ca="1" si="1"/>
        <v>Su</v>
      </c>
      <c r="W15" s="7">
        <f>SUM('Store 1:Store 20'!W15)</f>
        <v>923400</v>
      </c>
      <c r="X15" s="7">
        <f>SUM('Store 1:Store 20'!X15)</f>
        <v>165900</v>
      </c>
      <c r="Y15" s="8">
        <f>SUM('Store 1:Store 20'!X15)/SUM('Store 1:Store 20'!W15)</f>
        <v>0.17966211825860948</v>
      </c>
      <c r="Z15" s="67">
        <f>SUM('Store 1:Store 20'!Z15)</f>
        <v>11060</v>
      </c>
      <c r="AA15" s="64">
        <f>SUM('Store 1:Store 20'!AA15)</f>
        <v>0</v>
      </c>
      <c r="AB15" s="64">
        <f>SUM('Store 1:Store 20'!AB15)</f>
        <v>11060</v>
      </c>
      <c r="AD15" s="5">
        <f t="shared" ca="1" si="7"/>
        <v>44843</v>
      </c>
      <c r="AE15" s="6" t="str">
        <f t="shared" ca="1" si="8"/>
        <v>Su</v>
      </c>
      <c r="AF15" s="40">
        <f t="shared" si="9"/>
        <v>3.3412887828162291E-2</v>
      </c>
      <c r="AG15" s="40">
        <f t="shared" si="10"/>
        <v>2.3131672597864767E-2</v>
      </c>
      <c r="AI15" s="5">
        <f t="shared" ca="1" si="11"/>
        <v>44479</v>
      </c>
      <c r="AJ15" s="6" t="str">
        <f t="shared" ca="1" si="12"/>
        <v>Su</v>
      </c>
      <c r="AK15" s="40">
        <f t="shared" si="13"/>
        <v>6.9135802469135796E-2</v>
      </c>
      <c r="AL15" s="40">
        <f t="shared" si="14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15"/>
        <v>45208</v>
      </c>
      <c r="D16" s="6" t="str">
        <f t="shared" ca="1" si="3"/>
        <v>M</v>
      </c>
      <c r="E16" s="7">
        <f>SUM('Store 1:Store 20'!E16)</f>
        <v>1112680</v>
      </c>
      <c r="F16" s="7">
        <f>SUM('Store 1:Store 20'!F16)</f>
        <v>180600</v>
      </c>
      <c r="G16" s="8">
        <f>SUM('Store 1:Store 20'!F16)/SUM('Store 1:Store 20'!E16)</f>
        <v>0.16231081712621778</v>
      </c>
      <c r="H16" s="64">
        <f>SUM('Store 1:Store 20'!H16)</f>
        <v>12040</v>
      </c>
      <c r="I16" s="64">
        <f>SUM('Store 1:Store 20'!I16)</f>
        <v>400</v>
      </c>
      <c r="J16" s="64">
        <f>SUM('Store 1:Store 20'!J16)</f>
        <v>12440</v>
      </c>
      <c r="L16" s="5">
        <f t="shared" ca="1" si="5"/>
        <v>44844</v>
      </c>
      <c r="M16" s="6" t="str">
        <f t="shared" ca="1" si="2"/>
        <v>M</v>
      </c>
      <c r="N16" s="7">
        <f>SUM('Store 1:Store 20'!N16)</f>
        <v>1094800</v>
      </c>
      <c r="O16" s="7">
        <f>SUM('Store 1:Store 20'!O16)</f>
        <v>67800</v>
      </c>
      <c r="P16" s="8">
        <f>SUM('Store 1:Store 20'!O16)/SUM('Store 1:Store 20'!N16)</f>
        <v>6.1929119473876505E-2</v>
      </c>
      <c r="Q16" s="64">
        <f>SUM('Store 1:Store 20'!Q16)</f>
        <v>4520</v>
      </c>
      <c r="R16" s="64">
        <f>SUM('Store 1:Store 20'!R16)</f>
        <v>240</v>
      </c>
      <c r="S16" s="64">
        <f>SUM('Store 1:Store 20'!S16)</f>
        <v>4760</v>
      </c>
      <c r="T16" s="4"/>
      <c r="U16" s="5">
        <f t="shared" ca="1" si="6"/>
        <v>44480</v>
      </c>
      <c r="V16" s="6" t="str">
        <f t="shared" ca="1" si="1"/>
        <v>M</v>
      </c>
      <c r="W16" s="7">
        <f>SUM('Store 1:Store 20'!W16)</f>
        <v>1076920</v>
      </c>
      <c r="X16" s="7">
        <f>SUM('Store 1:Store 20'!X16)</f>
        <v>69600</v>
      </c>
      <c r="Y16" s="8">
        <f>SUM('Store 1:Store 20'!X16)/SUM('Store 1:Store 20'!W16)</f>
        <v>6.4628756082160232E-2</v>
      </c>
      <c r="Z16" s="67">
        <f>SUM('Store 1:Store 20'!Z16)</f>
        <v>4640</v>
      </c>
      <c r="AA16" s="64">
        <f>SUM('Store 1:Store 20'!AA16)</f>
        <v>220</v>
      </c>
      <c r="AB16" s="64">
        <f>SUM('Store 1:Store 20'!AB16)</f>
        <v>4860</v>
      </c>
      <c r="AD16" s="5">
        <f t="shared" ca="1" si="7"/>
        <v>44844</v>
      </c>
      <c r="AE16" s="6" t="str">
        <f t="shared" ca="1" si="8"/>
        <v>M</v>
      </c>
      <c r="AF16" s="40">
        <f t="shared" si="9"/>
        <v>1.6331750091340885E-2</v>
      </c>
      <c r="AG16" s="40">
        <f t="shared" si="10"/>
        <v>1.663716814159292</v>
      </c>
      <c r="AI16" s="5">
        <f t="shared" ca="1" si="11"/>
        <v>44480</v>
      </c>
      <c r="AJ16" s="6" t="str">
        <f t="shared" ca="1" si="12"/>
        <v>M</v>
      </c>
      <c r="AK16" s="40">
        <f t="shared" si="13"/>
        <v>3.3205809159454744E-2</v>
      </c>
      <c r="AL16" s="40">
        <f t="shared" si="14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15"/>
        <v>45209</v>
      </c>
      <c r="D17" s="6" t="str">
        <f t="shared" ca="1" si="3"/>
        <v>Tu</v>
      </c>
      <c r="E17" s="7">
        <f>SUM('Store 1:Store 20'!E17)</f>
        <v>317080</v>
      </c>
      <c r="F17" s="7">
        <f>SUM('Store 1:Store 20'!F17)</f>
        <v>43500</v>
      </c>
      <c r="G17" s="8">
        <f>SUM('Store 1:Store 20'!F17)/SUM('Store 1:Store 20'!E17)</f>
        <v>0.13718935284470796</v>
      </c>
      <c r="H17" s="64">
        <f>SUM('Store 1:Store 20'!H17)</f>
        <v>2900</v>
      </c>
      <c r="I17" s="64">
        <f>SUM('Store 1:Store 20'!I17)</f>
        <v>0</v>
      </c>
      <c r="J17" s="64">
        <f>SUM('Store 1:Store 20'!J17)</f>
        <v>2900</v>
      </c>
      <c r="L17" s="5">
        <f t="shared" ca="1" si="5"/>
        <v>44845</v>
      </c>
      <c r="M17" s="6" t="str">
        <f t="shared" ca="1" si="2"/>
        <v>Tu</v>
      </c>
      <c r="N17" s="7">
        <f>SUM('Store 1:Store 20'!N17)</f>
        <v>386980</v>
      </c>
      <c r="O17" s="7">
        <f>SUM('Store 1:Store 20'!O17)</f>
        <v>161400</v>
      </c>
      <c r="P17" s="8">
        <f>SUM('Store 1:Store 20'!O17)/SUM('Store 1:Store 20'!N17)</f>
        <v>0.41707581787172465</v>
      </c>
      <c r="Q17" s="64">
        <f>SUM('Store 1:Store 20'!Q17)</f>
        <v>10760</v>
      </c>
      <c r="R17" s="64">
        <f>SUM('Store 1:Store 20'!R17)</f>
        <v>0</v>
      </c>
      <c r="S17" s="64">
        <f>SUM('Store 1:Store 20'!S17)</f>
        <v>10760</v>
      </c>
      <c r="T17" s="4"/>
      <c r="U17" s="5">
        <f t="shared" ca="1" si="6"/>
        <v>44481</v>
      </c>
      <c r="V17" s="6" t="str">
        <f t="shared" ca="1" si="1"/>
        <v>Tu</v>
      </c>
      <c r="W17" s="7">
        <f>SUM('Store 1:Store 20'!W17)</f>
        <v>456880</v>
      </c>
      <c r="X17" s="7">
        <f>SUM('Store 1:Store 20'!X17)</f>
        <v>158700</v>
      </c>
      <c r="Y17" s="8">
        <f>SUM('Store 1:Store 20'!X17)/SUM('Store 1:Store 20'!W17)</f>
        <v>0.34735597968832077</v>
      </c>
      <c r="Z17" s="67">
        <f>SUM('Store 1:Store 20'!Z17)</f>
        <v>10580</v>
      </c>
      <c r="AA17" s="64">
        <f>SUM('Store 1:Store 20'!AA17)</f>
        <v>0</v>
      </c>
      <c r="AB17" s="64">
        <f>SUM('Store 1:Store 20'!AB17)</f>
        <v>10580</v>
      </c>
      <c r="AD17" s="5">
        <f t="shared" ca="1" si="7"/>
        <v>44845</v>
      </c>
      <c r="AE17" s="6" t="str">
        <f t="shared" ca="1" si="8"/>
        <v>Tu</v>
      </c>
      <c r="AF17" s="40">
        <f t="shared" si="9"/>
        <v>-0.18062948989611866</v>
      </c>
      <c r="AG17" s="40">
        <f t="shared" si="10"/>
        <v>-0.73048327137546465</v>
      </c>
      <c r="AI17" s="5">
        <f t="shared" ca="1" si="11"/>
        <v>44481</v>
      </c>
      <c r="AJ17" s="6" t="str">
        <f t="shared" ca="1" si="12"/>
        <v>Tu</v>
      </c>
      <c r="AK17" s="40">
        <f t="shared" si="13"/>
        <v>-0.30598844335492908</v>
      </c>
      <c r="AL17" s="40">
        <f t="shared" si="14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15"/>
        <v>45210</v>
      </c>
      <c r="D18" s="6" t="str">
        <f t="shared" ca="1" si="3"/>
        <v>W</v>
      </c>
      <c r="E18" s="7">
        <f>SUM('Store 1:Store 20'!E18)</f>
        <v>525080</v>
      </c>
      <c r="F18" s="7">
        <f>SUM('Store 1:Store 20'!F18)</f>
        <v>153000</v>
      </c>
      <c r="G18" s="8">
        <f>SUM('Store 1:Store 20'!F18)/SUM('Store 1:Store 20'!E18)</f>
        <v>0.29138417003123335</v>
      </c>
      <c r="H18" s="64">
        <f>SUM('Store 1:Store 20'!H18)</f>
        <v>10200</v>
      </c>
      <c r="I18" s="64">
        <f>SUM('Store 1:Store 20'!I18)</f>
        <v>0</v>
      </c>
      <c r="J18" s="64">
        <f>SUM('Store 1:Store 20'!J18)</f>
        <v>10200</v>
      </c>
      <c r="L18" s="5">
        <f t="shared" ca="1" si="5"/>
        <v>44846</v>
      </c>
      <c r="M18" s="6" t="str">
        <f t="shared" ca="1" si="2"/>
        <v>W</v>
      </c>
      <c r="N18" s="7">
        <f>SUM('Store 1:Store 20'!N18)</f>
        <v>537840</v>
      </c>
      <c r="O18" s="7">
        <f>SUM('Store 1:Store 20'!O18)</f>
        <v>175200</v>
      </c>
      <c r="P18" s="8">
        <f>SUM('Store 1:Store 20'!O18)/SUM('Store 1:Store 20'!N18)</f>
        <v>0.32574743418116914</v>
      </c>
      <c r="Q18" s="64">
        <f>SUM('Store 1:Store 20'!Q18)</f>
        <v>11680</v>
      </c>
      <c r="R18" s="64">
        <f>SUM('Store 1:Store 20'!R18)</f>
        <v>0</v>
      </c>
      <c r="S18" s="64">
        <f>SUM('Store 1:Store 20'!S18)</f>
        <v>11680</v>
      </c>
      <c r="T18" s="4"/>
      <c r="U18" s="5">
        <f t="shared" ca="1" si="6"/>
        <v>44482</v>
      </c>
      <c r="V18" s="6" t="str">
        <f t="shared" ca="1" si="1"/>
        <v>W</v>
      </c>
      <c r="W18" s="7">
        <f>SUM('Store 1:Store 20'!W18)</f>
        <v>550600</v>
      </c>
      <c r="X18" s="7">
        <f>SUM('Store 1:Store 20'!X18)</f>
        <v>177000</v>
      </c>
      <c r="Y18" s="8">
        <f>SUM('Store 1:Store 20'!X18)/SUM('Store 1:Store 20'!W18)</f>
        <v>0.32146749001089719</v>
      </c>
      <c r="Z18" s="67">
        <f>SUM('Store 1:Store 20'!Z18)</f>
        <v>11800</v>
      </c>
      <c r="AA18" s="64">
        <f>SUM('Store 1:Store 20'!AA18)</f>
        <v>0</v>
      </c>
      <c r="AB18" s="64">
        <f>SUM('Store 1:Store 20'!AB18)</f>
        <v>11800</v>
      </c>
      <c r="AD18" s="5">
        <f t="shared" ca="1" si="7"/>
        <v>44846</v>
      </c>
      <c r="AE18" s="6" t="str">
        <f t="shared" ca="1" si="8"/>
        <v>W</v>
      </c>
      <c r="AF18" s="40">
        <f t="shared" si="9"/>
        <v>-2.3724527740591996E-2</v>
      </c>
      <c r="AG18" s="40">
        <f t="shared" si="10"/>
        <v>-0.12671232876712329</v>
      </c>
      <c r="AI18" s="5">
        <f t="shared" ca="1" si="11"/>
        <v>44482</v>
      </c>
      <c r="AJ18" s="6" t="str">
        <f t="shared" ca="1" si="12"/>
        <v>W</v>
      </c>
      <c r="AK18" s="40">
        <f t="shared" si="13"/>
        <v>-4.6349436977842356E-2</v>
      </c>
      <c r="AL18" s="40">
        <f t="shared" si="14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15"/>
        <v>45211</v>
      </c>
      <c r="D19" s="6" t="str">
        <f t="shared" ca="1" si="3"/>
        <v>Th</v>
      </c>
      <c r="E19" s="7">
        <f>SUM('Store 1:Store 20'!E19)</f>
        <v>731780</v>
      </c>
      <c r="F19" s="7">
        <f>SUM('Store 1:Store 20'!F19)</f>
        <v>154500</v>
      </c>
      <c r="G19" s="8">
        <f>SUM('Store 1:Store 20'!F19)/SUM('Store 1:Store 20'!E19)</f>
        <v>0.21112902784990023</v>
      </c>
      <c r="H19" s="64">
        <f>SUM('Store 1:Store 20'!H19)</f>
        <v>10300</v>
      </c>
      <c r="I19" s="64">
        <f>SUM('Store 1:Store 20'!I19)</f>
        <v>0</v>
      </c>
      <c r="J19" s="64">
        <f>SUM('Store 1:Store 20'!J19)</f>
        <v>10300</v>
      </c>
      <c r="L19" s="5">
        <f t="shared" ca="1" si="5"/>
        <v>44847</v>
      </c>
      <c r="M19" s="6" t="str">
        <f t="shared" ca="1" si="2"/>
        <v>Th</v>
      </c>
      <c r="N19" s="7">
        <f>SUM('Store 1:Store 20'!N19)</f>
        <v>693140</v>
      </c>
      <c r="O19" s="7">
        <f>SUM('Store 1:Store 20'!O19)</f>
        <v>47700</v>
      </c>
      <c r="P19" s="8">
        <f>SUM('Store 1:Store 20'!O19)/SUM('Store 1:Store 20'!N19)</f>
        <v>6.881726635311769E-2</v>
      </c>
      <c r="Q19" s="64">
        <f>SUM('Store 1:Store 20'!Q19)</f>
        <v>3180</v>
      </c>
      <c r="R19" s="64">
        <f>SUM('Store 1:Store 20'!R19)</f>
        <v>0</v>
      </c>
      <c r="S19" s="64">
        <f>SUM('Store 1:Store 20'!S19)</f>
        <v>3180</v>
      </c>
      <c r="T19" s="4"/>
      <c r="U19" s="5">
        <f t="shared" ca="1" si="6"/>
        <v>44483</v>
      </c>
      <c r="V19" s="6" t="str">
        <f t="shared" ca="1" si="1"/>
        <v>Th</v>
      </c>
      <c r="W19" s="7">
        <f>SUM('Store 1:Store 20'!W19)</f>
        <v>654500</v>
      </c>
      <c r="X19" s="7">
        <f>SUM('Store 1:Store 20'!X19)</f>
        <v>45000</v>
      </c>
      <c r="Y19" s="8">
        <f>SUM('Store 1:Store 20'!X19)/SUM('Store 1:Store 20'!W19)</f>
        <v>6.8754774637127578E-2</v>
      </c>
      <c r="Z19" s="67">
        <f>SUM('Store 1:Store 20'!Z19)</f>
        <v>3000</v>
      </c>
      <c r="AA19" s="64">
        <f>SUM('Store 1:Store 20'!AA19)</f>
        <v>0</v>
      </c>
      <c r="AB19" s="64">
        <f>SUM('Store 1:Store 20'!AB19)</f>
        <v>3000</v>
      </c>
      <c r="AD19" s="5">
        <f t="shared" ca="1" si="7"/>
        <v>44847</v>
      </c>
      <c r="AE19" s="6" t="str">
        <f t="shared" ca="1" si="8"/>
        <v>Th</v>
      </c>
      <c r="AF19" s="40">
        <f t="shared" si="9"/>
        <v>5.5746313875984652E-2</v>
      </c>
      <c r="AG19" s="40">
        <f t="shared" si="10"/>
        <v>2.2389937106918238</v>
      </c>
      <c r="AI19" s="5">
        <f t="shared" ca="1" si="11"/>
        <v>44483</v>
      </c>
      <c r="AJ19" s="6" t="str">
        <f t="shared" ca="1" si="12"/>
        <v>Th</v>
      </c>
      <c r="AK19" s="40">
        <f t="shared" si="13"/>
        <v>0.11807486631016043</v>
      </c>
      <c r="AL19" s="40">
        <f t="shared" si="14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15"/>
        <v>45212</v>
      </c>
      <c r="D20" s="6" t="str">
        <f t="shared" ca="1" si="3"/>
        <v>F</v>
      </c>
      <c r="E20" s="7">
        <f>SUM('Store 1:Store 20'!E20)</f>
        <v>625180</v>
      </c>
      <c r="F20" s="7">
        <f>SUM('Store 1:Store 20'!F20)</f>
        <v>163500</v>
      </c>
      <c r="G20" s="8">
        <f>SUM('Store 1:Store 20'!F20)/SUM('Store 1:Store 20'!E20)</f>
        <v>0.26152468089190312</v>
      </c>
      <c r="H20" s="64">
        <f>SUM('Store 1:Store 20'!H20)</f>
        <v>10900</v>
      </c>
      <c r="I20" s="64">
        <f>SUM('Store 1:Store 20'!I20)</f>
        <v>0</v>
      </c>
      <c r="J20" s="64">
        <f>SUM('Store 1:Store 20'!J20)</f>
        <v>10900</v>
      </c>
      <c r="L20" s="5">
        <f t="shared" ca="1" si="5"/>
        <v>44848</v>
      </c>
      <c r="M20" s="6" t="str">
        <f t="shared" ca="1" si="2"/>
        <v>F</v>
      </c>
      <c r="N20" s="7">
        <f>SUM('Store 1:Store 20'!N20)</f>
        <v>553940</v>
      </c>
      <c r="O20" s="7">
        <f>SUM('Store 1:Store 20'!O20)</f>
        <v>160500</v>
      </c>
      <c r="P20" s="8">
        <f>SUM('Store 1:Store 20'!O20)/SUM('Store 1:Store 20'!N20)</f>
        <v>0.28974257139762427</v>
      </c>
      <c r="Q20" s="64">
        <f>SUM('Store 1:Store 20'!Q20)</f>
        <v>10700</v>
      </c>
      <c r="R20" s="64">
        <f>SUM('Store 1:Store 20'!R20)</f>
        <v>0</v>
      </c>
      <c r="S20" s="64">
        <f>SUM('Store 1:Store 20'!S20)</f>
        <v>10700</v>
      </c>
      <c r="T20" s="4"/>
      <c r="U20" s="5">
        <f t="shared" ca="1" si="6"/>
        <v>44484</v>
      </c>
      <c r="V20" s="6" t="str">
        <f t="shared" ca="1" si="1"/>
        <v>F</v>
      </c>
      <c r="W20" s="7">
        <f>SUM('Store 1:Store 20'!W20)</f>
        <v>482700</v>
      </c>
      <c r="X20" s="7">
        <f>SUM('Store 1:Store 20'!X20)</f>
        <v>162300</v>
      </c>
      <c r="Y20" s="8">
        <f>SUM('Store 1:Store 20'!X20)/SUM('Store 1:Store 20'!W20)</f>
        <v>0.33623368551895588</v>
      </c>
      <c r="Z20" s="67">
        <f>SUM('Store 1:Store 20'!Z20)</f>
        <v>10820</v>
      </c>
      <c r="AA20" s="64">
        <f>SUM('Store 1:Store 20'!AA20)</f>
        <v>0</v>
      </c>
      <c r="AB20" s="64">
        <f>SUM('Store 1:Store 20'!AB20)</f>
        <v>10820</v>
      </c>
      <c r="AD20" s="5">
        <f t="shared" ca="1" si="7"/>
        <v>44848</v>
      </c>
      <c r="AE20" s="6" t="str">
        <f t="shared" ca="1" si="8"/>
        <v>F</v>
      </c>
      <c r="AF20" s="40">
        <f t="shared" si="9"/>
        <v>0.12860598620789254</v>
      </c>
      <c r="AG20" s="40">
        <f t="shared" si="10"/>
        <v>1.8691588785046728E-2</v>
      </c>
      <c r="AI20" s="5">
        <f t="shared" ca="1" si="11"/>
        <v>44484</v>
      </c>
      <c r="AJ20" s="6" t="str">
        <f t="shared" ca="1" si="12"/>
        <v>F</v>
      </c>
      <c r="AK20" s="40">
        <f t="shared" si="13"/>
        <v>0.29517298529107105</v>
      </c>
      <c r="AL20" s="40">
        <f t="shared" si="14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15"/>
        <v>45213</v>
      </c>
      <c r="D21" s="6" t="str">
        <f t="shared" ca="1" si="3"/>
        <v>S</v>
      </c>
      <c r="E21" s="7">
        <f>SUM('Store 1:Store 20'!E21)</f>
        <v>671360</v>
      </c>
      <c r="F21" s="7">
        <f>SUM('Store 1:Store 20'!F21)</f>
        <v>168000</v>
      </c>
      <c r="G21" s="8">
        <f>SUM('Store 1:Store 20'!F21)/SUM('Store 1:Store 20'!E21)</f>
        <v>0.25023832221163012</v>
      </c>
      <c r="H21" s="64">
        <f>SUM('Store 1:Store 20'!H21)</f>
        <v>11200</v>
      </c>
      <c r="I21" s="64">
        <f>SUM('Store 1:Store 20'!I21)</f>
        <v>0</v>
      </c>
      <c r="J21" s="64">
        <f>SUM('Store 1:Store 20'!J21)</f>
        <v>11200</v>
      </c>
      <c r="L21" s="5">
        <f t="shared" ca="1" si="5"/>
        <v>44849</v>
      </c>
      <c r="M21" s="6" t="str">
        <f t="shared" ca="1" si="2"/>
        <v>S</v>
      </c>
      <c r="N21" s="7">
        <f>SUM('Store 1:Store 20'!N21)</f>
        <v>721640</v>
      </c>
      <c r="O21" s="7">
        <f>SUM('Store 1:Store 20'!O21)</f>
        <v>159300</v>
      </c>
      <c r="P21" s="8">
        <f>SUM('Store 1:Store 20'!O21)/SUM('Store 1:Store 20'!N21)</f>
        <v>0.22074718696302867</v>
      </c>
      <c r="Q21" s="64">
        <f>SUM('Store 1:Store 20'!Q21)</f>
        <v>10620</v>
      </c>
      <c r="R21" s="64">
        <f>SUM('Store 1:Store 20'!R21)</f>
        <v>0</v>
      </c>
      <c r="S21" s="64">
        <f>SUM('Store 1:Store 20'!S21)</f>
        <v>10620</v>
      </c>
      <c r="T21" s="4"/>
      <c r="U21" s="5">
        <f t="shared" ca="1" si="6"/>
        <v>44485</v>
      </c>
      <c r="V21" s="6" t="str">
        <f t="shared" ca="1" si="1"/>
        <v>S</v>
      </c>
      <c r="W21" s="7">
        <f>SUM('Store 1:Store 20'!W21)</f>
        <v>771920</v>
      </c>
      <c r="X21" s="7">
        <f>SUM('Store 1:Store 20'!X21)</f>
        <v>156600</v>
      </c>
      <c r="Y21" s="8">
        <f>SUM('Store 1:Store 20'!X21)/SUM('Store 1:Store 20'!W21)</f>
        <v>0.20287076380972122</v>
      </c>
      <c r="Z21" s="67">
        <f>SUM('Store 1:Store 20'!Z21)</f>
        <v>10440</v>
      </c>
      <c r="AA21" s="64">
        <f>SUM('Store 1:Store 20'!AA21)</f>
        <v>0</v>
      </c>
      <c r="AB21" s="64">
        <f>SUM('Store 1:Store 20'!AB21)</f>
        <v>10440</v>
      </c>
      <c r="AD21" s="5">
        <f t="shared" ca="1" si="7"/>
        <v>44849</v>
      </c>
      <c r="AE21" s="6" t="str">
        <f t="shared" ca="1" si="8"/>
        <v>S</v>
      </c>
      <c r="AF21" s="40">
        <f t="shared" si="9"/>
        <v>-6.9674630009422978E-2</v>
      </c>
      <c r="AG21" s="40">
        <f t="shared" si="10"/>
        <v>5.4613935969868174E-2</v>
      </c>
      <c r="AI21" s="5">
        <f t="shared" ca="1" si="11"/>
        <v>44485</v>
      </c>
      <c r="AJ21" s="6" t="str">
        <f t="shared" ca="1" si="12"/>
        <v>S</v>
      </c>
      <c r="AK21" s="40">
        <f t="shared" si="13"/>
        <v>-0.13027256710539953</v>
      </c>
      <c r="AL21" s="40">
        <f t="shared" si="14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15"/>
        <v>45214</v>
      </c>
      <c r="D22" s="6" t="str">
        <f t="shared" ca="1" si="3"/>
        <v>Su</v>
      </c>
      <c r="E22" s="7">
        <f>SUM('Store 1:Store 20'!E22)</f>
        <v>965300</v>
      </c>
      <c r="F22" s="7">
        <f>SUM('Store 1:Store 20'!F22)</f>
        <v>172500</v>
      </c>
      <c r="G22" s="8">
        <f>SUM('Store 1:Store 20'!F22)/SUM('Store 1:Store 20'!E22)</f>
        <v>0.17870092199316276</v>
      </c>
      <c r="H22" s="64">
        <f>SUM('Store 1:Store 20'!H22)</f>
        <v>11500</v>
      </c>
      <c r="I22" s="64">
        <f>SUM('Store 1:Store 20'!I22)</f>
        <v>120</v>
      </c>
      <c r="J22" s="64">
        <f>SUM('Store 1:Store 20'!J22)</f>
        <v>11620</v>
      </c>
      <c r="L22" s="5">
        <f t="shared" ca="1" si="5"/>
        <v>44850</v>
      </c>
      <c r="M22" s="6" t="str">
        <f t="shared" ca="1" si="2"/>
        <v>Su</v>
      </c>
      <c r="N22" s="7">
        <f>SUM('Store 1:Store 20'!N22)</f>
        <v>933380</v>
      </c>
      <c r="O22" s="7">
        <f>SUM('Store 1:Store 20'!O22)</f>
        <v>163500</v>
      </c>
      <c r="P22" s="8">
        <f>SUM('Store 1:Store 20'!O22)/SUM('Store 1:Store 20'!N22)</f>
        <v>0.17516981293792452</v>
      </c>
      <c r="Q22" s="64">
        <f>SUM('Store 1:Store 20'!Q22)</f>
        <v>10900</v>
      </c>
      <c r="R22" s="64">
        <f>SUM('Store 1:Store 20'!R22)</f>
        <v>220</v>
      </c>
      <c r="S22" s="64">
        <f>SUM('Store 1:Store 20'!S22)</f>
        <v>11120</v>
      </c>
      <c r="T22" s="4"/>
      <c r="U22" s="5">
        <f t="shared" ca="1" si="6"/>
        <v>44486</v>
      </c>
      <c r="V22" s="6" t="str">
        <f t="shared" ca="1" si="1"/>
        <v>Su</v>
      </c>
      <c r="W22" s="7">
        <f>SUM('Store 1:Store 20'!W22)</f>
        <v>901460</v>
      </c>
      <c r="X22" s="7">
        <f>SUM('Store 1:Store 20'!X22)</f>
        <v>165300</v>
      </c>
      <c r="Y22" s="8">
        <f>SUM('Store 1:Store 20'!X22)/SUM('Store 1:Store 20'!W22)</f>
        <v>0.1833692010738136</v>
      </c>
      <c r="Z22" s="67">
        <f>SUM('Store 1:Store 20'!Z22)</f>
        <v>11020</v>
      </c>
      <c r="AA22" s="64">
        <f>SUM('Store 1:Store 20'!AA22)</f>
        <v>320</v>
      </c>
      <c r="AB22" s="64">
        <f>SUM('Store 1:Store 20'!AB22)</f>
        <v>11340</v>
      </c>
      <c r="AD22" s="5">
        <f t="shared" ca="1" si="7"/>
        <v>44850</v>
      </c>
      <c r="AE22" s="6" t="str">
        <f t="shared" ca="1" si="8"/>
        <v>Su</v>
      </c>
      <c r="AF22" s="40">
        <f t="shared" si="9"/>
        <v>3.4198290085495728E-2</v>
      </c>
      <c r="AG22" s="40">
        <f t="shared" si="10"/>
        <v>5.5045871559633031E-2</v>
      </c>
      <c r="AI22" s="5">
        <f t="shared" ca="1" si="11"/>
        <v>44486</v>
      </c>
      <c r="AJ22" s="6" t="str">
        <f t="shared" ca="1" si="12"/>
        <v>Su</v>
      </c>
      <c r="AK22" s="40">
        <f t="shared" si="13"/>
        <v>7.0818450069886629E-2</v>
      </c>
      <c r="AL22" s="40">
        <f t="shared" si="14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15"/>
        <v>45215</v>
      </c>
      <c r="D23" s="6" t="str">
        <f t="shared" ca="1" si="3"/>
        <v>M</v>
      </c>
      <c r="E23" s="7">
        <f>SUM('Store 1:Store 20'!E23)</f>
        <v>901120</v>
      </c>
      <c r="F23" s="7">
        <f>SUM('Store 1:Store 20'!F23)</f>
        <v>180600</v>
      </c>
      <c r="G23" s="8">
        <f>SUM('Store 1:Store 20'!F23)/SUM('Store 1:Store 20'!E23)</f>
        <v>0.20041725852272727</v>
      </c>
      <c r="H23" s="64">
        <f>SUM('Store 1:Store 20'!H23)</f>
        <v>12040</v>
      </c>
      <c r="I23" s="64">
        <f>SUM('Store 1:Store 20'!I23)</f>
        <v>580</v>
      </c>
      <c r="J23" s="64">
        <f>SUM('Store 1:Store 20'!J23)</f>
        <v>12620</v>
      </c>
      <c r="L23" s="5">
        <f t="shared" ca="1" si="5"/>
        <v>44851</v>
      </c>
      <c r="M23" s="6" t="str">
        <f t="shared" ca="1" si="2"/>
        <v>M</v>
      </c>
      <c r="N23" s="7">
        <f>SUM('Store 1:Store 20'!N23)</f>
        <v>883240</v>
      </c>
      <c r="O23" s="7">
        <f>SUM('Store 1:Store 20'!O23)</f>
        <v>170100</v>
      </c>
      <c r="P23" s="8">
        <f>SUM('Store 1:Store 20'!O23)/SUM('Store 1:Store 20'!N23)</f>
        <v>0.19258638648611928</v>
      </c>
      <c r="Q23" s="64">
        <f>SUM('Store 1:Store 20'!Q23)</f>
        <v>11340</v>
      </c>
      <c r="R23" s="64">
        <f>SUM('Store 1:Store 20'!R23)</f>
        <v>600</v>
      </c>
      <c r="S23" s="64">
        <f>SUM('Store 1:Store 20'!S23)</f>
        <v>11940</v>
      </c>
      <c r="T23" s="4"/>
      <c r="U23" s="5">
        <f t="shared" ca="1" si="6"/>
        <v>44487</v>
      </c>
      <c r="V23" s="6" t="str">
        <f t="shared" ca="1" si="1"/>
        <v>M</v>
      </c>
      <c r="W23" s="7">
        <f>SUM('Store 1:Store 20'!W23)</f>
        <v>865360</v>
      </c>
      <c r="X23" s="7">
        <f>SUM('Store 1:Store 20'!X23)</f>
        <v>167400</v>
      </c>
      <c r="Y23" s="8">
        <f>SUM('Store 1:Store 20'!X23)/SUM('Store 1:Store 20'!W23)</f>
        <v>0.19344550244984746</v>
      </c>
      <c r="Z23" s="67">
        <f>SUM('Store 1:Store 20'!Z23)</f>
        <v>11160</v>
      </c>
      <c r="AA23" s="64">
        <f>SUM('Store 1:Store 20'!AA23)</f>
        <v>560</v>
      </c>
      <c r="AB23" s="64">
        <f>SUM('Store 1:Store 20'!AB23)</f>
        <v>11720</v>
      </c>
      <c r="AD23" s="5">
        <f t="shared" ca="1" si="7"/>
        <v>44851</v>
      </c>
      <c r="AE23" s="6" t="str">
        <f t="shared" ca="1" si="8"/>
        <v>M</v>
      </c>
      <c r="AF23" s="40">
        <f t="shared" si="9"/>
        <v>2.0243648385489789E-2</v>
      </c>
      <c r="AG23" s="40">
        <f t="shared" si="10"/>
        <v>6.1728395061728392E-2</v>
      </c>
      <c r="AI23" s="5">
        <f t="shared" ca="1" si="11"/>
        <v>44487</v>
      </c>
      <c r="AJ23" s="6" t="str">
        <f t="shared" ca="1" si="12"/>
        <v>M</v>
      </c>
      <c r="AK23" s="40">
        <f t="shared" si="13"/>
        <v>4.1323842100397523E-2</v>
      </c>
      <c r="AL23" s="40">
        <f t="shared" si="14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15"/>
        <v>45216</v>
      </c>
      <c r="D24" s="6" t="str">
        <f t="shared" ca="1" si="3"/>
        <v>Tu</v>
      </c>
      <c r="E24" s="7">
        <f>SUM('Store 1:Store 20'!E24)</f>
        <v>213180</v>
      </c>
      <c r="F24" s="7">
        <f>SUM('Store 1:Store 20'!F24)</f>
        <v>44700</v>
      </c>
      <c r="G24" s="8">
        <f>SUM('Store 1:Store 20'!F24)/SUM('Store 1:Store 20'!E24)</f>
        <v>0.20968195890796509</v>
      </c>
      <c r="H24" s="64">
        <f>SUM('Store 1:Store 20'!H24)</f>
        <v>2980</v>
      </c>
      <c r="I24" s="64">
        <f>SUM('Store 1:Store 20'!I24)</f>
        <v>0</v>
      </c>
      <c r="J24" s="64">
        <f>SUM('Store 1:Store 20'!J24)</f>
        <v>2980</v>
      </c>
      <c r="L24" s="5">
        <f t="shared" ca="1" si="5"/>
        <v>44852</v>
      </c>
      <c r="M24" s="6" t="str">
        <f t="shared" ca="1" si="2"/>
        <v>Tu</v>
      </c>
      <c r="N24" s="7">
        <f>SUM('Store 1:Store 20'!N24)</f>
        <v>283080</v>
      </c>
      <c r="O24" s="7">
        <f>SUM('Store 1:Store 20'!O24)</f>
        <v>168600</v>
      </c>
      <c r="P24" s="8">
        <f>SUM('Store 1:Store 20'!O24)/SUM('Store 1:Store 20'!N24)</f>
        <v>0.59559135226791016</v>
      </c>
      <c r="Q24" s="64">
        <f>SUM('Store 1:Store 20'!Q24)</f>
        <v>11240</v>
      </c>
      <c r="R24" s="64">
        <f>SUM('Store 1:Store 20'!R24)</f>
        <v>0</v>
      </c>
      <c r="S24" s="64">
        <f>SUM('Store 1:Store 20'!S24)</f>
        <v>11240</v>
      </c>
      <c r="T24" s="4"/>
      <c r="U24" s="5">
        <f t="shared" ca="1" si="6"/>
        <v>44488</v>
      </c>
      <c r="V24" s="6" t="str">
        <f t="shared" ca="1" si="1"/>
        <v>Tu</v>
      </c>
      <c r="W24" s="7">
        <f>SUM('Store 1:Store 20'!W24)</f>
        <v>352980</v>
      </c>
      <c r="X24" s="7">
        <f>SUM('Store 1:Store 20'!X24)</f>
        <v>170400</v>
      </c>
      <c r="Y24" s="8">
        <f>SUM('Store 1:Store 20'!X24)/SUM('Store 1:Store 20'!W24)</f>
        <v>0.48274689784123748</v>
      </c>
      <c r="Z24" s="67">
        <f>SUM('Store 1:Store 20'!Z24)</f>
        <v>11360</v>
      </c>
      <c r="AA24" s="64">
        <f>SUM('Store 1:Store 20'!AA24)</f>
        <v>0</v>
      </c>
      <c r="AB24" s="64">
        <f>SUM('Store 1:Store 20'!AB24)</f>
        <v>11360</v>
      </c>
      <c r="AD24" s="5">
        <f t="shared" ca="1" si="7"/>
        <v>44852</v>
      </c>
      <c r="AE24" s="6" t="str">
        <f t="shared" ca="1" si="8"/>
        <v>Tu</v>
      </c>
      <c r="AF24" s="40">
        <f t="shared" si="9"/>
        <v>-0.24692666384061043</v>
      </c>
      <c r="AG24" s="40">
        <f t="shared" si="10"/>
        <v>-0.73487544483985767</v>
      </c>
      <c r="AI24" s="5">
        <f t="shared" ca="1" si="11"/>
        <v>44488</v>
      </c>
      <c r="AJ24" s="6" t="str">
        <f t="shared" ca="1" si="12"/>
        <v>Tu</v>
      </c>
      <c r="AK24" s="40">
        <f t="shared" si="13"/>
        <v>-0.39605643379228284</v>
      </c>
      <c r="AL24" s="40">
        <f t="shared" si="14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15"/>
        <v>45217</v>
      </c>
      <c r="D25" s="6" t="str">
        <f t="shared" ca="1" si="3"/>
        <v>W</v>
      </c>
      <c r="E25" s="7">
        <f>SUM('Store 1:Store 20'!E25)</f>
        <v>512660</v>
      </c>
      <c r="F25" s="7">
        <f>SUM('Store 1:Store 20'!F25)</f>
        <v>157800</v>
      </c>
      <c r="G25" s="8">
        <f>SUM('Store 1:Store 20'!F25)/SUM('Store 1:Store 20'!E25)</f>
        <v>0.30780634338547963</v>
      </c>
      <c r="H25" s="64">
        <f>SUM('Store 1:Store 20'!H25)</f>
        <v>10520</v>
      </c>
      <c r="I25" s="64">
        <f>SUM('Store 1:Store 20'!I25)</f>
        <v>0</v>
      </c>
      <c r="J25" s="64">
        <f>SUM('Store 1:Store 20'!J25)</f>
        <v>10520</v>
      </c>
      <c r="L25" s="5">
        <f t="shared" ca="1" si="5"/>
        <v>44853</v>
      </c>
      <c r="M25" s="6" t="str">
        <f t="shared" ca="1" si="2"/>
        <v>W</v>
      </c>
      <c r="N25" s="7">
        <f>SUM('Store 1:Store 20'!N25)</f>
        <v>525420</v>
      </c>
      <c r="O25" s="7">
        <f>SUM('Store 1:Store 20'!O25)</f>
        <v>67800</v>
      </c>
      <c r="P25" s="8">
        <f>SUM('Store 1:Store 20'!O25)/SUM('Store 1:Store 20'!N25)</f>
        <v>0.12903962544250314</v>
      </c>
      <c r="Q25" s="64">
        <f>SUM('Store 1:Store 20'!Q25)</f>
        <v>4520</v>
      </c>
      <c r="R25" s="64">
        <f>SUM('Store 1:Store 20'!R25)</f>
        <v>0</v>
      </c>
      <c r="S25" s="64">
        <f>SUM('Store 1:Store 20'!S25)</f>
        <v>4520</v>
      </c>
      <c r="T25" s="4"/>
      <c r="U25" s="5">
        <f t="shared" ca="1" si="6"/>
        <v>44489</v>
      </c>
      <c r="V25" s="6" t="str">
        <f t="shared" ca="1" si="1"/>
        <v>W</v>
      </c>
      <c r="W25" s="7">
        <f>SUM('Store 1:Store 20'!W25)</f>
        <v>538180</v>
      </c>
      <c r="X25" s="7">
        <f>SUM('Store 1:Store 20'!X25)</f>
        <v>65100</v>
      </c>
      <c r="Y25" s="8">
        <f>SUM('Store 1:Store 20'!X25)/SUM('Store 1:Store 20'!W25)</f>
        <v>0.12096324649745438</v>
      </c>
      <c r="Z25" s="67">
        <f>SUM('Store 1:Store 20'!Z25)</f>
        <v>4340</v>
      </c>
      <c r="AA25" s="64">
        <f>SUM('Store 1:Store 20'!AA25)</f>
        <v>0</v>
      </c>
      <c r="AB25" s="64">
        <f>SUM('Store 1:Store 20'!AB25)</f>
        <v>4340</v>
      </c>
      <c r="AD25" s="5">
        <f t="shared" ca="1" si="7"/>
        <v>44853</v>
      </c>
      <c r="AE25" s="6" t="str">
        <f t="shared" ca="1" si="8"/>
        <v>W</v>
      </c>
      <c r="AF25" s="40">
        <f t="shared" si="9"/>
        <v>-2.4285333637851625E-2</v>
      </c>
      <c r="AG25" s="40">
        <f t="shared" si="10"/>
        <v>1.3274336283185841</v>
      </c>
      <c r="AI25" s="5">
        <f t="shared" ca="1" si="11"/>
        <v>44489</v>
      </c>
      <c r="AJ25" s="6" t="str">
        <f t="shared" ca="1" si="12"/>
        <v>W</v>
      </c>
      <c r="AK25" s="40">
        <f t="shared" si="13"/>
        <v>-4.7419079118510538E-2</v>
      </c>
      <c r="AL25" s="40">
        <f t="shared" si="14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15"/>
        <v>45218</v>
      </c>
      <c r="D26" s="6" t="str">
        <f t="shared" ca="1" si="3"/>
        <v>Th</v>
      </c>
      <c r="E26" s="7">
        <f>SUM('Store 1:Store 20'!E26)</f>
        <v>586960</v>
      </c>
      <c r="F26" s="7">
        <f>SUM('Store 1:Store 20'!F26)</f>
        <v>151500</v>
      </c>
      <c r="G26" s="8">
        <f>SUM('Store 1:Store 20'!F26)/SUM('Store 1:Store 20'!E26)</f>
        <v>0.25810958157284991</v>
      </c>
      <c r="H26" s="64">
        <f>SUM('Store 1:Store 20'!H26)</f>
        <v>10100</v>
      </c>
      <c r="I26" s="64">
        <f>SUM('Store 1:Store 20'!I26)</f>
        <v>0</v>
      </c>
      <c r="J26" s="64">
        <f>SUM('Store 1:Store 20'!J26)</f>
        <v>10100</v>
      </c>
      <c r="L26" s="5">
        <f t="shared" ca="1" si="5"/>
        <v>44854</v>
      </c>
      <c r="M26" s="6" t="str">
        <f t="shared" ca="1" si="2"/>
        <v>Th</v>
      </c>
      <c r="N26" s="7">
        <f>SUM('Store 1:Store 20'!N26)</f>
        <v>548320</v>
      </c>
      <c r="O26" s="7">
        <f>SUM('Store 1:Store 20'!O26)</f>
        <v>161400</v>
      </c>
      <c r="P26" s="8">
        <f>SUM('Store 1:Store 20'!O26)/SUM('Store 1:Store 20'!N26)</f>
        <v>0.29435366209512692</v>
      </c>
      <c r="Q26" s="64">
        <f>SUM('Store 1:Store 20'!Q26)</f>
        <v>10760</v>
      </c>
      <c r="R26" s="64">
        <f>SUM('Store 1:Store 20'!R26)</f>
        <v>0</v>
      </c>
      <c r="S26" s="64">
        <f>SUM('Store 1:Store 20'!S26)</f>
        <v>10760</v>
      </c>
      <c r="T26" s="4"/>
      <c r="U26" s="5">
        <f t="shared" ca="1" si="6"/>
        <v>44490</v>
      </c>
      <c r="V26" s="6" t="str">
        <f t="shared" ca="1" si="1"/>
        <v>Th</v>
      </c>
      <c r="W26" s="7">
        <f>SUM('Store 1:Store 20'!W26)</f>
        <v>509680</v>
      </c>
      <c r="X26" s="7">
        <f>SUM('Store 1:Store 20'!X26)</f>
        <v>163200</v>
      </c>
      <c r="Y26" s="8">
        <f>SUM('Store 1:Store 20'!X26)/SUM('Store 1:Store 20'!W26)</f>
        <v>0.32020091037513732</v>
      </c>
      <c r="Z26" s="67">
        <f>SUM('Store 1:Store 20'!Z26)</f>
        <v>10880</v>
      </c>
      <c r="AA26" s="64">
        <f>SUM('Store 1:Store 20'!AA26)</f>
        <v>0</v>
      </c>
      <c r="AB26" s="64">
        <f>SUM('Store 1:Store 20'!AB26)</f>
        <v>10880</v>
      </c>
      <c r="AD26" s="5">
        <f t="shared" ca="1" si="7"/>
        <v>44854</v>
      </c>
      <c r="AE26" s="6" t="str">
        <f t="shared" ca="1" si="8"/>
        <v>Th</v>
      </c>
      <c r="AF26" s="40">
        <f t="shared" si="9"/>
        <v>7.0469798657718116E-2</v>
      </c>
      <c r="AG26" s="40">
        <f t="shared" si="10"/>
        <v>-6.1338289962825282E-2</v>
      </c>
      <c r="AI26" s="5">
        <f t="shared" ca="1" si="11"/>
        <v>44490</v>
      </c>
      <c r="AJ26" s="6" t="str">
        <f t="shared" ca="1" si="12"/>
        <v>Th</v>
      </c>
      <c r="AK26" s="40">
        <f t="shared" si="13"/>
        <v>0.15162454873646208</v>
      </c>
      <c r="AL26" s="40">
        <f t="shared" si="14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15"/>
        <v>45219</v>
      </c>
      <c r="D27" s="6" t="str">
        <f t="shared" ca="1" si="3"/>
        <v>F</v>
      </c>
      <c r="E27" s="7">
        <f>SUM('Store 1:Store 20'!E27)</f>
        <v>591680</v>
      </c>
      <c r="F27" s="7">
        <f>SUM('Store 1:Store 20'!F27)</f>
        <v>168000</v>
      </c>
      <c r="G27" s="8">
        <f>SUM('Store 1:Store 20'!F27)/SUM('Store 1:Store 20'!E27)</f>
        <v>0.28393726338561387</v>
      </c>
      <c r="H27" s="64">
        <f>SUM('Store 1:Store 20'!H27)</f>
        <v>11200</v>
      </c>
      <c r="I27" s="64">
        <f>SUM('Store 1:Store 20'!I27)</f>
        <v>0</v>
      </c>
      <c r="J27" s="64">
        <f>SUM('Store 1:Store 20'!J27)</f>
        <v>11200</v>
      </c>
      <c r="L27" s="5">
        <f t="shared" ca="1" si="5"/>
        <v>44855</v>
      </c>
      <c r="M27" s="6" t="str">
        <f t="shared" ca="1" si="2"/>
        <v>F</v>
      </c>
      <c r="N27" s="7">
        <f>SUM('Store 1:Store 20'!N27)</f>
        <v>520440</v>
      </c>
      <c r="O27" s="7">
        <f>SUM('Store 1:Store 20'!O27)</f>
        <v>175200</v>
      </c>
      <c r="P27" s="8">
        <f>SUM('Store 1:Store 20'!O27)/SUM('Store 1:Store 20'!N27)</f>
        <v>0.33663822919068481</v>
      </c>
      <c r="Q27" s="64">
        <f>SUM('Store 1:Store 20'!Q27)</f>
        <v>11680</v>
      </c>
      <c r="R27" s="64">
        <f>SUM('Store 1:Store 20'!R27)</f>
        <v>0</v>
      </c>
      <c r="S27" s="64">
        <f>SUM('Store 1:Store 20'!S27)</f>
        <v>11680</v>
      </c>
      <c r="T27" s="4"/>
      <c r="U27" s="5">
        <f t="shared" ca="1" si="6"/>
        <v>44491</v>
      </c>
      <c r="V27" s="6" t="str">
        <f t="shared" ca="1" si="1"/>
        <v>F</v>
      </c>
      <c r="W27" s="7">
        <f>SUM('Store 1:Store 20'!W27)</f>
        <v>449200</v>
      </c>
      <c r="X27" s="7">
        <f>SUM('Store 1:Store 20'!X27)</f>
        <v>172500</v>
      </c>
      <c r="Y27" s="8">
        <f>SUM('Store 1:Store 20'!X27)/SUM('Store 1:Store 20'!W27)</f>
        <v>0.38401602849510241</v>
      </c>
      <c r="Z27" s="67">
        <f>SUM('Store 1:Store 20'!Z27)</f>
        <v>11500</v>
      </c>
      <c r="AA27" s="64">
        <f>SUM('Store 1:Store 20'!AA27)</f>
        <v>0</v>
      </c>
      <c r="AB27" s="64">
        <f>SUM('Store 1:Store 20'!AB27)</f>
        <v>11500</v>
      </c>
      <c r="AD27" s="5">
        <f t="shared" ca="1" si="7"/>
        <v>44855</v>
      </c>
      <c r="AE27" s="6" t="str">
        <f t="shared" ca="1" si="8"/>
        <v>F</v>
      </c>
      <c r="AF27" s="40">
        <f t="shared" si="9"/>
        <v>0.13688417492890631</v>
      </c>
      <c r="AG27" s="40">
        <f t="shared" si="10"/>
        <v>-4.1095890410958902E-2</v>
      </c>
      <c r="AI27" s="5">
        <f t="shared" ca="1" si="11"/>
        <v>44491</v>
      </c>
      <c r="AJ27" s="6" t="str">
        <f t="shared" ca="1" si="12"/>
        <v>F</v>
      </c>
      <c r="AK27" s="40">
        <f t="shared" si="13"/>
        <v>0.3171861086375779</v>
      </c>
      <c r="AL27" s="40">
        <f t="shared" si="14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15"/>
        <v>45220</v>
      </c>
      <c r="D28" s="6" t="str">
        <f t="shared" ca="1" si="3"/>
        <v>S</v>
      </c>
      <c r="E28" s="7">
        <f>SUM('Store 1:Store 20'!E28)</f>
        <v>789160</v>
      </c>
      <c r="F28" s="7">
        <f>SUM('Store 1:Store 20'!F28)</f>
        <v>172500</v>
      </c>
      <c r="G28" s="8">
        <f>SUM('Store 1:Store 20'!F28)/SUM('Store 1:Store 20'!E28)</f>
        <v>0.2185868518424654</v>
      </c>
      <c r="H28" s="64">
        <f>SUM('Store 1:Store 20'!H28)</f>
        <v>11500</v>
      </c>
      <c r="I28" s="64">
        <f>SUM('Store 1:Store 20'!I28)</f>
        <v>0</v>
      </c>
      <c r="J28" s="64">
        <f>SUM('Store 1:Store 20'!J28)</f>
        <v>11500</v>
      </c>
      <c r="L28" s="5">
        <f t="shared" ca="1" si="5"/>
        <v>44856</v>
      </c>
      <c r="M28" s="6" t="str">
        <f t="shared" ca="1" si="2"/>
        <v>S</v>
      </c>
      <c r="N28" s="7">
        <f>SUM('Store 1:Store 20'!N28)</f>
        <v>839440</v>
      </c>
      <c r="O28" s="7">
        <f>SUM('Store 1:Store 20'!O28)</f>
        <v>47700</v>
      </c>
      <c r="P28" s="8">
        <f>SUM('Store 1:Store 20'!O28)/SUM('Store 1:Store 20'!N28)</f>
        <v>5.6823596683503286E-2</v>
      </c>
      <c r="Q28" s="64">
        <f>SUM('Store 1:Store 20'!Q28)</f>
        <v>3180</v>
      </c>
      <c r="R28" s="64">
        <f>SUM('Store 1:Store 20'!R28)</f>
        <v>0</v>
      </c>
      <c r="S28" s="64">
        <f>SUM('Store 1:Store 20'!S28)</f>
        <v>3180</v>
      </c>
      <c r="T28" s="4"/>
      <c r="U28" s="5">
        <f t="shared" ca="1" si="6"/>
        <v>44492</v>
      </c>
      <c r="V28" s="6" t="str">
        <f t="shared" ca="1" si="1"/>
        <v>S</v>
      </c>
      <c r="W28" s="7">
        <f>SUM('Store 1:Store 20'!W28)</f>
        <v>889720</v>
      </c>
      <c r="X28" s="7">
        <f>SUM('Store 1:Store 20'!X28)</f>
        <v>49500</v>
      </c>
      <c r="Y28" s="8">
        <f>SUM('Store 1:Store 20'!X28)/SUM('Store 1:Store 20'!W28)</f>
        <v>5.5635480825428227E-2</v>
      </c>
      <c r="Z28" s="67">
        <f>SUM('Store 1:Store 20'!Z28)</f>
        <v>3300</v>
      </c>
      <c r="AA28" s="64">
        <f>SUM('Store 1:Store 20'!AA28)</f>
        <v>0</v>
      </c>
      <c r="AB28" s="64">
        <f>SUM('Store 1:Store 20'!AB28)</f>
        <v>3300</v>
      </c>
      <c r="AD28" s="5">
        <f t="shared" ca="1" si="7"/>
        <v>44856</v>
      </c>
      <c r="AE28" s="6" t="str">
        <f t="shared" ca="1" si="8"/>
        <v>S</v>
      </c>
      <c r="AF28" s="40">
        <f t="shared" si="9"/>
        <v>-5.9897074239969504E-2</v>
      </c>
      <c r="AG28" s="40">
        <f t="shared" si="10"/>
        <v>2.6163522012578615</v>
      </c>
      <c r="AI28" s="5">
        <f t="shared" ca="1" si="11"/>
        <v>44492</v>
      </c>
      <c r="AJ28" s="6" t="str">
        <f t="shared" ca="1" si="12"/>
        <v>S</v>
      </c>
      <c r="AK28" s="40">
        <f t="shared" si="13"/>
        <v>-0.11302432225868812</v>
      </c>
      <c r="AL28" s="40">
        <f t="shared" si="14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15"/>
        <v>45221</v>
      </c>
      <c r="D29" s="6" t="str">
        <f t="shared" ca="1" si="3"/>
        <v>Su</v>
      </c>
      <c r="E29" s="7">
        <f>SUM('Store 1:Store 20'!E29)</f>
        <v>1047780</v>
      </c>
      <c r="F29" s="7">
        <f>SUM('Store 1:Store 20'!F29)</f>
        <v>174000</v>
      </c>
      <c r="G29" s="8">
        <f>SUM('Store 1:Store 20'!F29)/SUM('Store 1:Store 20'!E29)</f>
        <v>0.16606539540743287</v>
      </c>
      <c r="H29" s="64">
        <f>SUM('Store 1:Store 20'!H29)</f>
        <v>11600</v>
      </c>
      <c r="I29" s="64">
        <f>SUM('Store 1:Store 20'!I29)</f>
        <v>60</v>
      </c>
      <c r="J29" s="64">
        <f>SUM('Store 1:Store 20'!J29)</f>
        <v>11660</v>
      </c>
      <c r="L29" s="5">
        <f t="shared" ca="1" si="5"/>
        <v>44857</v>
      </c>
      <c r="M29" s="6" t="str">
        <f t="shared" ca="1" si="2"/>
        <v>Su</v>
      </c>
      <c r="N29" s="7">
        <f>SUM('Store 1:Store 20'!N29)</f>
        <v>1015860</v>
      </c>
      <c r="O29" s="7">
        <f>SUM('Store 1:Store 20'!O29)</f>
        <v>160500</v>
      </c>
      <c r="P29" s="8">
        <f>SUM('Store 1:Store 20'!O29)/SUM('Store 1:Store 20'!N29)</f>
        <v>0.1579942118008387</v>
      </c>
      <c r="Q29" s="64">
        <f>SUM('Store 1:Store 20'!Q29)</f>
        <v>10700</v>
      </c>
      <c r="R29" s="64">
        <f>SUM('Store 1:Store 20'!R29)</f>
        <v>60</v>
      </c>
      <c r="S29" s="64">
        <f>SUM('Store 1:Store 20'!S29)</f>
        <v>10760</v>
      </c>
      <c r="T29" s="4"/>
      <c r="U29" s="5">
        <f t="shared" ca="1" si="6"/>
        <v>44493</v>
      </c>
      <c r="V29" s="6" t="str">
        <f t="shared" ca="1" si="1"/>
        <v>Su</v>
      </c>
      <c r="W29" s="7">
        <f>SUM('Store 1:Store 20'!W29)</f>
        <v>983940</v>
      </c>
      <c r="X29" s="7">
        <f>SUM('Store 1:Store 20'!X29)</f>
        <v>157800</v>
      </c>
      <c r="Y29" s="8">
        <f>SUM('Store 1:Store 20'!X29)/SUM('Store 1:Store 20'!W29)</f>
        <v>0.16037563266052809</v>
      </c>
      <c r="Z29" s="67">
        <f>SUM('Store 1:Store 20'!Z29)</f>
        <v>10520</v>
      </c>
      <c r="AA29" s="64">
        <f>SUM('Store 1:Store 20'!AA29)</f>
        <v>60</v>
      </c>
      <c r="AB29" s="64">
        <f>SUM('Store 1:Store 20'!AB29)</f>
        <v>10580</v>
      </c>
      <c r="AD29" s="5">
        <f t="shared" ca="1" si="7"/>
        <v>44857</v>
      </c>
      <c r="AE29" s="6" t="str">
        <f t="shared" ca="1" si="8"/>
        <v>Su</v>
      </c>
      <c r="AF29" s="40">
        <f t="shared" si="9"/>
        <v>3.1421652589923806E-2</v>
      </c>
      <c r="AG29" s="40">
        <f t="shared" si="10"/>
        <v>8.4112149532710276E-2</v>
      </c>
      <c r="AI29" s="5">
        <f t="shared" ca="1" si="11"/>
        <v>44493</v>
      </c>
      <c r="AJ29" s="6" t="str">
        <f t="shared" ca="1" si="12"/>
        <v>Su</v>
      </c>
      <c r="AK29" s="40">
        <f t="shared" si="13"/>
        <v>6.4882005000304901E-2</v>
      </c>
      <c r="AL29" s="40">
        <f t="shared" si="14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15"/>
        <v>45222</v>
      </c>
      <c r="D30" s="6" t="str">
        <f t="shared" ca="1" si="3"/>
        <v>M</v>
      </c>
      <c r="E30" s="7">
        <f>SUM('Store 1:Store 20'!E30)</f>
        <v>1113780</v>
      </c>
      <c r="F30" s="7">
        <f>SUM('Store 1:Store 20'!F30)</f>
        <v>179700</v>
      </c>
      <c r="G30" s="8">
        <f>SUM('Store 1:Store 20'!F30)/SUM('Store 1:Store 20'!E30)</f>
        <v>0.16134245542207618</v>
      </c>
      <c r="H30" s="64">
        <f>SUM('Store 1:Store 20'!H30)</f>
        <v>11980</v>
      </c>
      <c r="I30" s="64">
        <f>SUM('Store 1:Store 20'!I30)</f>
        <v>320</v>
      </c>
      <c r="J30" s="64">
        <f>SUM('Store 1:Store 20'!J30)</f>
        <v>12300</v>
      </c>
      <c r="L30" s="5">
        <f t="shared" ca="1" si="5"/>
        <v>44858</v>
      </c>
      <c r="M30" s="6" t="str">
        <f t="shared" ca="1" si="2"/>
        <v>M</v>
      </c>
      <c r="N30" s="7">
        <f>SUM('Store 1:Store 20'!N30)</f>
        <v>1095900</v>
      </c>
      <c r="O30" s="7">
        <f>SUM('Store 1:Store 20'!O30)</f>
        <v>146700</v>
      </c>
      <c r="P30" s="8">
        <f>SUM('Store 1:Store 20'!O30)/SUM('Store 1:Store 20'!N30)</f>
        <v>0.13386257870243634</v>
      </c>
      <c r="Q30" s="64">
        <f>SUM('Store 1:Store 20'!Q30)</f>
        <v>9780</v>
      </c>
      <c r="R30" s="64">
        <f>SUM('Store 1:Store 20'!R30)</f>
        <v>320</v>
      </c>
      <c r="S30" s="64">
        <f>SUM('Store 1:Store 20'!S30)</f>
        <v>10100</v>
      </c>
      <c r="T30" s="4"/>
      <c r="U30" s="5">
        <f t="shared" ca="1" si="6"/>
        <v>44494</v>
      </c>
      <c r="V30" s="6" t="str">
        <f t="shared" ca="1" si="1"/>
        <v>M</v>
      </c>
      <c r="W30" s="7">
        <f>SUM('Store 1:Store 20'!W30)</f>
        <v>1078020</v>
      </c>
      <c r="X30" s="7">
        <f>SUM('Store 1:Store 20'!X30)</f>
        <v>148500</v>
      </c>
      <c r="Y30" s="8">
        <f>SUM('Store 1:Store 20'!X30)/SUM('Store 1:Store 20'!W30)</f>
        <v>0.13775254633494741</v>
      </c>
      <c r="Z30" s="67">
        <f>SUM('Store 1:Store 20'!Z30)</f>
        <v>9900</v>
      </c>
      <c r="AA30" s="64">
        <f>SUM('Store 1:Store 20'!AA30)</f>
        <v>320</v>
      </c>
      <c r="AB30" s="64">
        <f>SUM('Store 1:Store 20'!AB30)</f>
        <v>10220</v>
      </c>
      <c r="AD30" s="5">
        <f t="shared" ca="1" si="7"/>
        <v>44858</v>
      </c>
      <c r="AE30" s="6" t="str">
        <f t="shared" ca="1" si="8"/>
        <v>M</v>
      </c>
      <c r="AF30" s="40">
        <f t="shared" si="9"/>
        <v>1.6315357240624145E-2</v>
      </c>
      <c r="AG30" s="40">
        <f t="shared" si="10"/>
        <v>0.22494887525562371</v>
      </c>
      <c r="AI30" s="5">
        <f t="shared" ca="1" si="11"/>
        <v>44494</v>
      </c>
      <c r="AJ30" s="6" t="str">
        <f t="shared" ca="1" si="12"/>
        <v>M</v>
      </c>
      <c r="AK30" s="40">
        <f t="shared" si="13"/>
        <v>3.3171926309344908E-2</v>
      </c>
      <c r="AL30" s="40">
        <f t="shared" si="14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15"/>
        <v>45223</v>
      </c>
      <c r="D31" s="6" t="str">
        <f t="shared" ca="1" si="3"/>
        <v>Tu</v>
      </c>
      <c r="E31" s="7">
        <f>SUM('Store 1:Store 20'!E31)</f>
        <v>191780</v>
      </c>
      <c r="F31" s="7">
        <f>SUM('Store 1:Store 20'!F31)</f>
        <v>39000</v>
      </c>
      <c r="G31" s="8">
        <f>SUM('Store 1:Store 20'!F31)/SUM('Store 1:Store 20'!E31)</f>
        <v>0.20335801439149026</v>
      </c>
      <c r="H31" s="64">
        <f>SUM('Store 1:Store 20'!H31)</f>
        <v>2600</v>
      </c>
      <c r="I31" s="64">
        <f>SUM('Store 1:Store 20'!I31)</f>
        <v>0</v>
      </c>
      <c r="J31" s="64">
        <f>SUM('Store 1:Store 20'!J31)</f>
        <v>2600</v>
      </c>
      <c r="L31" s="5">
        <f t="shared" ca="1" si="5"/>
        <v>44859</v>
      </c>
      <c r="M31" s="6" t="str">
        <f t="shared" ca="1" si="2"/>
        <v>Tu</v>
      </c>
      <c r="N31" s="7">
        <f>SUM('Store 1:Store 20'!N31)</f>
        <v>261680</v>
      </c>
      <c r="O31" s="7">
        <f>SUM('Store 1:Store 20'!O31)</f>
        <v>161400</v>
      </c>
      <c r="P31" s="8">
        <f>SUM('Store 1:Store 20'!O31)/SUM('Store 1:Store 20'!N31)</f>
        <v>0.61678385814735559</v>
      </c>
      <c r="Q31" s="64">
        <f>SUM('Store 1:Store 20'!Q31)</f>
        <v>10760</v>
      </c>
      <c r="R31" s="64">
        <f>SUM('Store 1:Store 20'!R31)</f>
        <v>0</v>
      </c>
      <c r="S31" s="64">
        <f>SUM('Store 1:Store 20'!S31)</f>
        <v>10760</v>
      </c>
      <c r="T31" s="4"/>
      <c r="U31" s="5">
        <f t="shared" ca="1" si="6"/>
        <v>44495</v>
      </c>
      <c r="V31" s="6" t="str">
        <f t="shared" ca="1" si="1"/>
        <v>Tu</v>
      </c>
      <c r="W31" s="7">
        <f>SUM('Store 1:Store 20'!W31)</f>
        <v>331580</v>
      </c>
      <c r="X31" s="7">
        <f>SUM('Store 1:Store 20'!X31)</f>
        <v>158700</v>
      </c>
      <c r="Y31" s="8">
        <f>SUM('Store 1:Store 20'!X31)/SUM('Store 1:Store 20'!W31)</f>
        <v>0.47861752819832321</v>
      </c>
      <c r="Z31" s="67">
        <f>SUM('Store 1:Store 20'!Z31)</f>
        <v>10580</v>
      </c>
      <c r="AA31" s="64">
        <f>SUM('Store 1:Store 20'!AA31)</f>
        <v>0</v>
      </c>
      <c r="AB31" s="64">
        <f>SUM('Store 1:Store 20'!AB31)</f>
        <v>10580</v>
      </c>
      <c r="AD31" s="5">
        <f t="shared" ca="1" si="7"/>
        <v>44859</v>
      </c>
      <c r="AE31" s="6" t="str">
        <f t="shared" ca="1" si="8"/>
        <v>Tu</v>
      </c>
      <c r="AF31" s="40">
        <f t="shared" si="9"/>
        <v>-0.26712014674411494</v>
      </c>
      <c r="AG31" s="40">
        <f t="shared" si="10"/>
        <v>-0.75836431226765799</v>
      </c>
      <c r="AI31" s="5">
        <f t="shared" ca="1" si="11"/>
        <v>44495</v>
      </c>
      <c r="AJ31" s="6" t="str">
        <f t="shared" ca="1" si="12"/>
        <v>Tu</v>
      </c>
      <c r="AK31" s="40">
        <f t="shared" si="13"/>
        <v>-0.42161770915012969</v>
      </c>
      <c r="AL31" s="40">
        <f t="shared" si="14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15"/>
        <v>45224</v>
      </c>
      <c r="D32" s="6" t="str">
        <f t="shared" ca="1" si="3"/>
        <v>W</v>
      </c>
      <c r="E32" s="7">
        <f>SUM('Store 1:Store 20'!E32)</f>
        <v>397280</v>
      </c>
      <c r="F32" s="7">
        <f>SUM('Store 1:Store 20'!F32)</f>
        <v>154500</v>
      </c>
      <c r="G32" s="8">
        <f>SUM('Store 1:Store 20'!F32)/SUM('Store 1:Store 20'!E32)</f>
        <v>0.38889448248086994</v>
      </c>
      <c r="H32" s="64">
        <f>SUM('Store 1:Store 20'!H32)</f>
        <v>10300</v>
      </c>
      <c r="I32" s="64">
        <f>SUM('Store 1:Store 20'!I32)</f>
        <v>0</v>
      </c>
      <c r="J32" s="64">
        <f>SUM('Store 1:Store 20'!J32)</f>
        <v>10300</v>
      </c>
      <c r="L32" s="5">
        <f t="shared" ca="1" si="5"/>
        <v>44860</v>
      </c>
      <c r="M32" s="6" t="str">
        <f t="shared" ca="1" si="2"/>
        <v>W</v>
      </c>
      <c r="N32" s="7">
        <f>SUM('Store 1:Store 20'!N32)</f>
        <v>410040</v>
      </c>
      <c r="O32" s="7">
        <f>SUM('Store 1:Store 20'!O32)</f>
        <v>175200</v>
      </c>
      <c r="P32" s="8">
        <f>SUM('Store 1:Store 20'!O32)/SUM('Store 1:Store 20'!N32)</f>
        <v>0.4272753877670471</v>
      </c>
      <c r="Q32" s="64">
        <f>SUM('Store 1:Store 20'!Q32)</f>
        <v>11680</v>
      </c>
      <c r="R32" s="64">
        <f>SUM('Store 1:Store 20'!R32)</f>
        <v>0</v>
      </c>
      <c r="S32" s="64">
        <f>SUM('Store 1:Store 20'!S32)</f>
        <v>11680</v>
      </c>
      <c r="T32" s="4"/>
      <c r="U32" s="5">
        <f t="shared" ca="1" si="6"/>
        <v>44496</v>
      </c>
      <c r="V32" s="6" t="str">
        <f t="shared" ca="1" si="1"/>
        <v>W</v>
      </c>
      <c r="W32" s="7">
        <f>SUM('Store 1:Store 20'!W32)</f>
        <v>422800</v>
      </c>
      <c r="X32" s="7">
        <f>SUM('Store 1:Store 20'!X32)</f>
        <v>177000</v>
      </c>
      <c r="Y32" s="8">
        <f>SUM('Store 1:Store 20'!X32)/SUM('Store 1:Store 20'!W32)</f>
        <v>0.41863765373699147</v>
      </c>
      <c r="Z32" s="67">
        <f>SUM('Store 1:Store 20'!Z32)</f>
        <v>11800</v>
      </c>
      <c r="AA32" s="64">
        <f>SUM('Store 1:Store 20'!AA32)</f>
        <v>0</v>
      </c>
      <c r="AB32" s="64">
        <f>SUM('Store 1:Store 20'!AB32)</f>
        <v>11800</v>
      </c>
      <c r="AD32" s="5">
        <f t="shared" ca="1" si="7"/>
        <v>44860</v>
      </c>
      <c r="AE32" s="6" t="str">
        <f t="shared" ca="1" si="8"/>
        <v>W</v>
      </c>
      <c r="AF32" s="40">
        <f t="shared" si="9"/>
        <v>-3.1118915227782654E-2</v>
      </c>
      <c r="AG32" s="40">
        <f t="shared" si="10"/>
        <v>-0.11815068493150685</v>
      </c>
      <c r="AI32" s="5">
        <f t="shared" ca="1" si="11"/>
        <v>44496</v>
      </c>
      <c r="AJ32" s="6" t="str">
        <f t="shared" ca="1" si="12"/>
        <v>W</v>
      </c>
      <c r="AK32" s="40">
        <f t="shared" si="13"/>
        <v>-6.0359508041627249E-2</v>
      </c>
      <c r="AL32" s="40">
        <f t="shared" si="14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15"/>
        <v>45225</v>
      </c>
      <c r="D33" s="6" t="str">
        <f t="shared" ca="1" si="3"/>
        <v>Th</v>
      </c>
      <c r="E33" s="7">
        <f>SUM('Store 1:Store 20'!E33)</f>
        <v>620500</v>
      </c>
      <c r="F33" s="7">
        <f>SUM('Store 1:Store 20'!F33)</f>
        <v>158700</v>
      </c>
      <c r="G33" s="8">
        <f>SUM('Store 1:Store 20'!F33)/SUM('Store 1:Store 20'!E33)</f>
        <v>0.25576148267526189</v>
      </c>
      <c r="H33" s="64">
        <f>SUM('Store 1:Store 20'!H33)</f>
        <v>10580</v>
      </c>
      <c r="I33" s="64">
        <f>SUM('Store 1:Store 20'!I33)</f>
        <v>0</v>
      </c>
      <c r="J33" s="64">
        <f>SUM('Store 1:Store 20'!J33)</f>
        <v>10580</v>
      </c>
      <c r="L33" s="5">
        <f t="shared" ca="1" si="5"/>
        <v>44861</v>
      </c>
      <c r="M33" s="6" t="str">
        <f t="shared" ca="1" si="2"/>
        <v>Th</v>
      </c>
      <c r="N33" s="7">
        <f>SUM('Store 1:Store 20'!N33)</f>
        <v>581860</v>
      </c>
      <c r="O33" s="7">
        <f>SUM('Store 1:Store 20'!O33)</f>
        <v>176700</v>
      </c>
      <c r="P33" s="8">
        <f>SUM('Store 1:Store 20'!O33)/SUM('Store 1:Store 20'!N33)</f>
        <v>0.30368129790671294</v>
      </c>
      <c r="Q33" s="64">
        <f>SUM('Store 1:Store 20'!Q33)</f>
        <v>11780</v>
      </c>
      <c r="R33" s="64">
        <f>SUM('Store 1:Store 20'!R33)</f>
        <v>0</v>
      </c>
      <c r="S33" s="64">
        <f>SUM('Store 1:Store 20'!S33)</f>
        <v>11780</v>
      </c>
      <c r="T33" s="4"/>
      <c r="U33" s="5">
        <f t="shared" ca="1" si="6"/>
        <v>44497</v>
      </c>
      <c r="V33" s="6" t="str">
        <f t="shared" ca="1" si="1"/>
        <v>Th</v>
      </c>
      <c r="W33" s="7">
        <f>SUM('Store 1:Store 20'!W33)</f>
        <v>543220</v>
      </c>
      <c r="X33" s="7">
        <f>SUM('Store 1:Store 20'!X33)</f>
        <v>174000</v>
      </c>
      <c r="Y33" s="8">
        <f>SUM('Store 1:Store 20'!X33)/SUM('Store 1:Store 20'!W33)</f>
        <v>0.32031221236331503</v>
      </c>
      <c r="Z33" s="67">
        <f>SUM('Store 1:Store 20'!Z33)</f>
        <v>11600</v>
      </c>
      <c r="AA33" s="64">
        <f>SUM('Store 1:Store 20'!AA33)</f>
        <v>0</v>
      </c>
      <c r="AB33" s="64">
        <f>SUM('Store 1:Store 20'!AB33)</f>
        <v>11600</v>
      </c>
      <c r="AD33" s="5">
        <f t="shared" ca="1" si="7"/>
        <v>44861</v>
      </c>
      <c r="AE33" s="6" t="str">
        <f t="shared" ca="1" si="8"/>
        <v>Th</v>
      </c>
      <c r="AF33" s="40">
        <f t="shared" si="9"/>
        <v>6.640772694462585E-2</v>
      </c>
      <c r="AG33" s="40">
        <f t="shared" si="10"/>
        <v>-0.10186757215619695</v>
      </c>
      <c r="AI33" s="5">
        <f t="shared" ca="1" si="11"/>
        <v>44497</v>
      </c>
      <c r="AJ33" s="6" t="str">
        <f t="shared" ca="1" si="12"/>
        <v>Th</v>
      </c>
      <c r="AK33" s="40">
        <f t="shared" si="13"/>
        <v>0.14226280328412061</v>
      </c>
      <c r="AL33" s="40">
        <f t="shared" si="14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15"/>
        <v>45226</v>
      </c>
      <c r="D34" s="6" t="str">
        <f t="shared" ca="1" si="3"/>
        <v>F</v>
      </c>
      <c r="E34" s="7">
        <f>SUM('Store 1:Store 20'!E34)</f>
        <v>729780</v>
      </c>
      <c r="F34" s="7">
        <f>SUM('Store 1:Store 20'!F34)</f>
        <v>166800</v>
      </c>
      <c r="G34" s="8">
        <f>SUM('Store 1:Store 20'!F34)/SUM('Store 1:Store 20'!E34)</f>
        <v>0.22856203239332401</v>
      </c>
      <c r="H34" s="64">
        <f>SUM('Store 1:Store 20'!H34)</f>
        <v>11120</v>
      </c>
      <c r="I34" s="64">
        <f>SUM('Store 1:Store 20'!I34)</f>
        <v>0</v>
      </c>
      <c r="J34" s="64">
        <f>SUM('Store 1:Store 20'!J34)</f>
        <v>11120</v>
      </c>
      <c r="L34" s="5">
        <f t="shared" ca="1" si="5"/>
        <v>44862</v>
      </c>
      <c r="M34" s="6" t="str">
        <f t="shared" ca="1" si="2"/>
        <v>F</v>
      </c>
      <c r="N34" s="7">
        <f>SUM('Store 1:Store 20'!N34)</f>
        <v>658540</v>
      </c>
      <c r="O34" s="7">
        <f>SUM('Store 1:Store 20'!O34)</f>
        <v>160500</v>
      </c>
      <c r="P34" s="8">
        <f>SUM('Store 1:Store 20'!O34)/SUM('Store 1:Store 20'!N34)</f>
        <v>0.24372095848391898</v>
      </c>
      <c r="Q34" s="64">
        <f>SUM('Store 1:Store 20'!Q34)</f>
        <v>10700</v>
      </c>
      <c r="R34" s="64">
        <f>SUM('Store 1:Store 20'!R34)</f>
        <v>0</v>
      </c>
      <c r="S34" s="64">
        <f>SUM('Store 1:Store 20'!S34)</f>
        <v>10700</v>
      </c>
      <c r="T34" s="4"/>
      <c r="U34" s="5">
        <f t="shared" ca="1" si="6"/>
        <v>44498</v>
      </c>
      <c r="V34" s="6" t="str">
        <f t="shared" ca="1" si="1"/>
        <v>F</v>
      </c>
      <c r="W34" s="7">
        <f>SUM('Store 1:Store 20'!W34)</f>
        <v>587300</v>
      </c>
      <c r="X34" s="7">
        <f>SUM('Store 1:Store 20'!X34)</f>
        <v>162300</v>
      </c>
      <c r="Y34" s="8">
        <f>SUM('Store 1:Store 20'!X34)/SUM('Store 1:Store 20'!W34)</f>
        <v>0.27634939553890686</v>
      </c>
      <c r="Z34" s="67">
        <f>SUM('Store 1:Store 20'!Z34)</f>
        <v>10820</v>
      </c>
      <c r="AA34" s="64">
        <f>SUM('Store 1:Store 20'!AA34)</f>
        <v>0</v>
      </c>
      <c r="AB34" s="64">
        <f>SUM('Store 1:Store 20'!AB34)</f>
        <v>10820</v>
      </c>
      <c r="AD34" s="5">
        <f t="shared" ca="1" si="7"/>
        <v>44862</v>
      </c>
      <c r="AE34" s="6" t="str">
        <f t="shared" ca="1" si="8"/>
        <v>F</v>
      </c>
      <c r="AF34" s="40">
        <f t="shared" si="9"/>
        <v>0.10817869833267531</v>
      </c>
      <c r="AG34" s="40">
        <f t="shared" si="10"/>
        <v>3.925233644859813E-2</v>
      </c>
      <c r="AI34" s="5">
        <f t="shared" ca="1" si="11"/>
        <v>44498</v>
      </c>
      <c r="AJ34" s="6" t="str">
        <f t="shared" ca="1" si="12"/>
        <v>F</v>
      </c>
      <c r="AK34" s="40">
        <f t="shared" si="13"/>
        <v>0.24260173676145072</v>
      </c>
      <c r="AL34" s="40">
        <f t="shared" si="14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15"/>
        <v>45227</v>
      </c>
      <c r="D35" s="6" t="str">
        <f t="shared" ca="1" si="3"/>
        <v>S</v>
      </c>
      <c r="E35" s="7">
        <f>SUM('Store 1:Store 20'!E35)</f>
        <v>757820</v>
      </c>
      <c r="F35" s="7">
        <f>SUM('Store 1:Store 20'!F35)</f>
        <v>174000</v>
      </c>
      <c r="G35" s="8">
        <f>SUM('Store 1:Store 20'!F35)/SUM('Store 1:Store 20'!E35)</f>
        <v>0.22960597503364916</v>
      </c>
      <c r="H35" s="64">
        <f>SUM('Store 1:Store 20'!H35)</f>
        <v>11600</v>
      </c>
      <c r="I35" s="64">
        <f>SUM('Store 1:Store 20'!I35)</f>
        <v>0</v>
      </c>
      <c r="J35" s="64">
        <f>SUM('Store 1:Store 20'!J35)</f>
        <v>11600</v>
      </c>
      <c r="L35" s="5">
        <f t="shared" ca="1" si="5"/>
        <v>44863</v>
      </c>
      <c r="M35" s="6" t="str">
        <f t="shared" ca="1" si="2"/>
        <v>S</v>
      </c>
      <c r="N35" s="7">
        <f>SUM('Store 1:Store 20'!N35)</f>
        <v>763200</v>
      </c>
      <c r="O35" s="7">
        <f>SUM('Store 1:Store 20'!O35)</f>
        <v>159300</v>
      </c>
      <c r="P35" s="8">
        <f>SUM('Store 1:Store 20'!O35)/SUM('Store 1:Store 20'!N35)</f>
        <v>0.20872641509433962</v>
      </c>
      <c r="Q35" s="64">
        <f>SUM('Store 1:Store 20'!Q35)</f>
        <v>10620</v>
      </c>
      <c r="R35" s="64">
        <f>SUM('Store 1:Store 20'!R35)</f>
        <v>0</v>
      </c>
      <c r="S35" s="64">
        <f>SUM('Store 1:Store 20'!S35)</f>
        <v>10620</v>
      </c>
      <c r="T35" s="4"/>
      <c r="U35" s="5">
        <f t="shared" ca="1" si="6"/>
        <v>44499</v>
      </c>
      <c r="V35" s="6" t="str">
        <f t="shared" ca="1" si="1"/>
        <v>S</v>
      </c>
      <c r="W35" s="7">
        <f>SUM('Store 1:Store 20'!W35)</f>
        <v>768580</v>
      </c>
      <c r="X35" s="7">
        <f>SUM('Store 1:Store 20'!X35)</f>
        <v>156600</v>
      </c>
      <c r="Y35" s="8">
        <f>SUM('Store 1:Store 20'!X35)/SUM('Store 1:Store 20'!W35)</f>
        <v>0.20375237450883446</v>
      </c>
      <c r="Z35" s="67">
        <f>SUM('Store 1:Store 20'!Z35)</f>
        <v>10440</v>
      </c>
      <c r="AA35" s="64">
        <f>SUM('Store 1:Store 20'!AA35)</f>
        <v>0</v>
      </c>
      <c r="AB35" s="64">
        <f>SUM('Store 1:Store 20'!AB35)</f>
        <v>10440</v>
      </c>
      <c r="AD35" s="5">
        <f t="shared" ca="1" si="7"/>
        <v>44863</v>
      </c>
      <c r="AE35" s="6" t="str">
        <f t="shared" ca="1" si="8"/>
        <v>S</v>
      </c>
      <c r="AF35" s="40">
        <f t="shared" si="9"/>
        <v>-7.0492662473794548E-3</v>
      </c>
      <c r="AG35" s="40">
        <f t="shared" si="10"/>
        <v>9.2278719397363471E-2</v>
      </c>
      <c r="AI35" s="5">
        <f t="shared" ca="1" si="11"/>
        <v>44499</v>
      </c>
      <c r="AJ35" s="6" t="str">
        <f t="shared" ca="1" si="12"/>
        <v>S</v>
      </c>
      <c r="AK35" s="40">
        <f t="shared" si="13"/>
        <v>-1.3999843867912254E-2</v>
      </c>
      <c r="AL35" s="40">
        <f t="shared" si="14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15"/>
        <v>45228</v>
      </c>
      <c r="D36" s="6" t="str">
        <f t="shared" ca="1" si="3"/>
        <v>Su</v>
      </c>
      <c r="E36" s="7">
        <f>SUM('Store 1:Store 20'!E36)</f>
        <v>1204700</v>
      </c>
      <c r="F36" s="7">
        <f>SUM('Store 1:Store 20'!F36)</f>
        <v>178800</v>
      </c>
      <c r="G36" s="8">
        <f>SUM('Store 1:Store 20'!F36)/SUM('Store 1:Store 20'!E36)</f>
        <v>0.14841869345065162</v>
      </c>
      <c r="H36" s="64">
        <f>SUM('Store 1:Store 20'!H36)</f>
        <v>11920</v>
      </c>
      <c r="I36" s="64">
        <f>SUM('Store 1:Store 20'!I36)</f>
        <v>320</v>
      </c>
      <c r="J36" s="64">
        <f>SUM('Store 1:Store 20'!J36)</f>
        <v>12240</v>
      </c>
      <c r="L36" s="5">
        <f t="shared" ca="1" si="5"/>
        <v>44864</v>
      </c>
      <c r="M36" s="6" t="str">
        <f t="shared" ca="1" si="2"/>
        <v>Su</v>
      </c>
      <c r="N36" s="7">
        <f>SUM('Store 1:Store 20'!N36)</f>
        <v>1192780</v>
      </c>
      <c r="O36" s="7">
        <f>SUM('Store 1:Store 20'!O36)</f>
        <v>163500</v>
      </c>
      <c r="P36" s="8">
        <f>SUM('Store 1:Store 20'!O36)/SUM('Store 1:Store 20'!N36)</f>
        <v>0.13707473297674341</v>
      </c>
      <c r="Q36" s="64">
        <f>SUM('Store 1:Store 20'!Q36)</f>
        <v>10900</v>
      </c>
      <c r="R36" s="64">
        <f>SUM('Store 1:Store 20'!R36)</f>
        <v>240</v>
      </c>
      <c r="S36" s="64">
        <f>SUM('Store 1:Store 20'!S36)</f>
        <v>11140</v>
      </c>
      <c r="T36" s="4"/>
      <c r="U36" s="5">
        <f t="shared" ca="1" si="6"/>
        <v>44500</v>
      </c>
      <c r="V36" s="6" t="str">
        <f t="shared" ca="1" si="1"/>
        <v>Su</v>
      </c>
      <c r="W36" s="7">
        <f>SUM('Store 1:Store 20'!W36)</f>
        <v>1180860</v>
      </c>
      <c r="X36" s="7">
        <f>SUM('Store 1:Store 20'!X36)</f>
        <v>165300</v>
      </c>
      <c r="Y36" s="8">
        <f>SUM('Store 1:Store 20'!X36)/SUM('Store 1:Store 20'!W36)</f>
        <v>0.13998272445505819</v>
      </c>
      <c r="Z36" s="67">
        <f>SUM('Store 1:Store 20'!Z36)</f>
        <v>11020</v>
      </c>
      <c r="AA36" s="64">
        <f>SUM('Store 1:Store 20'!AA36)</f>
        <v>220</v>
      </c>
      <c r="AB36" s="64">
        <f>SUM('Store 1:Store 20'!AB36)</f>
        <v>11240</v>
      </c>
      <c r="AD36" s="5">
        <f t="shared" ca="1" si="7"/>
        <v>44864</v>
      </c>
      <c r="AE36" s="6" t="str">
        <f t="shared" ca="1" si="8"/>
        <v>Su</v>
      </c>
      <c r="AF36" s="40">
        <f t="shared" si="9"/>
        <v>9.9934606549405593E-3</v>
      </c>
      <c r="AG36" s="40">
        <f t="shared" si="10"/>
        <v>9.3577981651376152E-2</v>
      </c>
      <c r="AI36" s="5">
        <f t="shared" ca="1" si="11"/>
        <v>44500</v>
      </c>
      <c r="AJ36" s="6" t="str">
        <f t="shared" ca="1" si="12"/>
        <v>Su</v>
      </c>
      <c r="AK36" s="40">
        <f t="shared" si="13"/>
        <v>2.0188676049658724E-2</v>
      </c>
      <c r="AL36" s="40">
        <f t="shared" si="14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15"/>
        <v>45229</v>
      </c>
      <c r="D37" s="6" t="str">
        <f t="shared" ca="1" si="3"/>
        <v>M</v>
      </c>
      <c r="E37" s="7">
        <f>SUM('Store 1:Store 20'!E37)</f>
        <v>1231960</v>
      </c>
      <c r="F37" s="7">
        <f>SUM('Store 1:Store 20'!F37)</f>
        <v>180300</v>
      </c>
      <c r="G37" s="8">
        <f>SUM('Store 1:Store 20'!F37)/SUM('Store 1:Store 20'!E37)</f>
        <v>0.14635215429072373</v>
      </c>
      <c r="H37" s="64">
        <f>SUM('Store 1:Store 20'!H37)</f>
        <v>12020</v>
      </c>
      <c r="I37" s="64">
        <f>SUM('Store 1:Store 20'!I37)</f>
        <v>700</v>
      </c>
      <c r="J37" s="64">
        <f>SUM('Store 1:Store 20'!J37)</f>
        <v>12720</v>
      </c>
      <c r="L37" s="5">
        <f t="shared" ca="1" si="5"/>
        <v>44865</v>
      </c>
      <c r="M37" s="6" t="str">
        <f t="shared" ca="1" si="2"/>
        <v>M</v>
      </c>
      <c r="N37" s="7">
        <f>SUM('Store 1:Store 20'!N37)</f>
        <v>1216980</v>
      </c>
      <c r="O37" s="7">
        <f>SUM('Store 1:Store 20'!O37)</f>
        <v>170100</v>
      </c>
      <c r="P37" s="8">
        <f>SUM('Store 1:Store 20'!O37)/SUM('Store 1:Store 20'!N37)</f>
        <v>0.13977222304392842</v>
      </c>
      <c r="Q37" s="64">
        <f>SUM('Store 1:Store 20'!Q37)</f>
        <v>11340</v>
      </c>
      <c r="R37" s="64">
        <f>SUM('Store 1:Store 20'!R37)</f>
        <v>820</v>
      </c>
      <c r="S37" s="64">
        <f>SUM('Store 1:Store 20'!S37)</f>
        <v>12160</v>
      </c>
      <c r="T37" s="4"/>
      <c r="U37" s="5">
        <f t="shared" ca="1" si="6"/>
        <v>44501</v>
      </c>
      <c r="V37" s="6" t="str">
        <f t="shared" ca="1" si="1"/>
        <v>M</v>
      </c>
      <c r="W37" s="7">
        <f>SUM('Store 1:Store 20'!W37)</f>
        <v>1202000</v>
      </c>
      <c r="X37" s="7">
        <f>SUM('Store 1:Store 20'!X37)</f>
        <v>167400</v>
      </c>
      <c r="Y37" s="8">
        <f>SUM('Store 1:Store 20'!X37)/SUM('Store 1:Store 20'!W37)</f>
        <v>0.13926788685524127</v>
      </c>
      <c r="Z37" s="67">
        <f>SUM('Store 1:Store 20'!Z37)</f>
        <v>11160</v>
      </c>
      <c r="AA37" s="64">
        <f>SUM('Store 1:Store 20'!AA37)</f>
        <v>900</v>
      </c>
      <c r="AB37" s="64">
        <f>SUM('Store 1:Store 20'!AB37)</f>
        <v>12060</v>
      </c>
      <c r="AD37" s="5">
        <f t="shared" ca="1" si="7"/>
        <v>44865</v>
      </c>
      <c r="AE37" s="6" t="str">
        <f t="shared" ca="1" si="8"/>
        <v>M</v>
      </c>
      <c r="AF37" s="40">
        <f t="shared" si="9"/>
        <v>1.2309158737201927E-2</v>
      </c>
      <c r="AG37" s="40">
        <f t="shared" si="10"/>
        <v>5.9964726631393295E-2</v>
      </c>
      <c r="AI37" s="5">
        <f t="shared" ca="1" si="11"/>
        <v>44501</v>
      </c>
      <c r="AJ37" s="6" t="str">
        <f t="shared" ca="1" si="12"/>
        <v>M</v>
      </c>
      <c r="AK37" s="40">
        <f t="shared" si="13"/>
        <v>2.4925124792013312E-2</v>
      </c>
      <c r="AL37" s="40">
        <f t="shared" si="14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ref="C38" ca="1" si="16">C37+1</f>
        <v>45230</v>
      </c>
      <c r="D38" s="6" t="str">
        <f t="shared" ca="1" si="3"/>
        <v>Tu</v>
      </c>
      <c r="E38" s="7">
        <f>SUM('Store 1:Store 20'!E38)</f>
        <v>231960</v>
      </c>
      <c r="F38" s="7">
        <f>SUM('Store 1:Store 20'!F38)</f>
        <v>29400</v>
      </c>
      <c r="G38" s="8">
        <f>SUM('Store 1:Store 20'!F38)/SUM('Store 1:Store 20'!E38)</f>
        <v>0.12674599068804968</v>
      </c>
      <c r="H38" s="64">
        <f>SUM('Store 1:Store 20'!H38)</f>
        <v>1960</v>
      </c>
      <c r="I38" s="64">
        <f>SUM('Store 1:Store 20'!I38)</f>
        <v>0</v>
      </c>
      <c r="J38" s="64">
        <f>SUM('Store 1:Store 20'!J38)</f>
        <v>1960</v>
      </c>
      <c r="L38" s="5">
        <f t="shared" ca="1" si="5"/>
        <v>44866</v>
      </c>
      <c r="M38" s="6" t="str">
        <f t="shared" ca="1" si="2"/>
        <v>Tu</v>
      </c>
      <c r="N38" s="7">
        <f>SUM('Store 1:Store 20'!N38)</f>
        <v>282240</v>
      </c>
      <c r="O38" s="7">
        <f>SUM('Store 1:Store 20'!O38)</f>
        <v>168600</v>
      </c>
      <c r="P38" s="8">
        <f>SUM('Store 1:Store 20'!O38)/SUM('Store 1:Store 20'!N38)</f>
        <v>0.59736394557823125</v>
      </c>
      <c r="Q38" s="64">
        <f>SUM('Store 1:Store 20'!Q38)</f>
        <v>11240</v>
      </c>
      <c r="R38" s="64">
        <f>SUM('Store 1:Store 20'!R38)</f>
        <v>0</v>
      </c>
      <c r="S38" s="64">
        <f>SUM('Store 1:Store 20'!S38)</f>
        <v>11240</v>
      </c>
      <c r="T38" s="4"/>
      <c r="U38" s="5">
        <f t="shared" ca="1" si="6"/>
        <v>44502</v>
      </c>
      <c r="V38" s="6" t="str">
        <f t="shared" ca="1" si="1"/>
        <v>Tu</v>
      </c>
      <c r="W38" s="7">
        <f>SUM('Store 1:Store 20'!W38)</f>
        <v>332520</v>
      </c>
      <c r="X38" s="7">
        <f>SUM('Store 1:Store 20'!X38)</f>
        <v>170400</v>
      </c>
      <c r="Y38" s="8">
        <f>SUM('Store 1:Store 20'!X38)/SUM('Store 1:Store 20'!W38)</f>
        <v>0.51245037892457601</v>
      </c>
      <c r="Z38" s="67">
        <f>SUM('Store 1:Store 20'!Z38)</f>
        <v>11360</v>
      </c>
      <c r="AA38" s="64">
        <f>SUM('Store 1:Store 20'!AA38)</f>
        <v>0</v>
      </c>
      <c r="AB38" s="64">
        <f>SUM('Store 1:Store 20'!AB38)</f>
        <v>11360</v>
      </c>
      <c r="AD38" s="5">
        <f t="shared" ca="1" si="7"/>
        <v>44866</v>
      </c>
      <c r="AE38" s="6" t="str">
        <f t="shared" ca="1" si="8"/>
        <v>Tu</v>
      </c>
      <c r="AF38" s="40">
        <f t="shared" si="9"/>
        <v>-0.17814625850340135</v>
      </c>
      <c r="AG38" s="40">
        <f t="shared" si="10"/>
        <v>-0.82562277580071175</v>
      </c>
      <c r="AI38" s="5">
        <f t="shared" ca="1" si="11"/>
        <v>44502</v>
      </c>
      <c r="AJ38" s="6" t="str">
        <f t="shared" ca="1" si="12"/>
        <v>Tu</v>
      </c>
      <c r="AK38" s="40">
        <f t="shared" si="13"/>
        <v>-0.30241789967520749</v>
      </c>
      <c r="AL38" s="40">
        <f t="shared" si="14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1257100</v>
      </c>
      <c r="F39" s="21">
        <f ca="1">SUMIF($C$8:$C$38, "&lt;="&amp;TODAY(), $F$8:$F$38)</f>
        <v>339900</v>
      </c>
      <c r="G39" s="9">
        <f ca="1">$F$39/$E$39</f>
        <v>0.27038421764378329</v>
      </c>
      <c r="H39" s="10">
        <f ca="1">SUMIF($C$8:$C$38, "&lt;="&amp;TODAY(), $H$8:$H$38)</f>
        <v>22660</v>
      </c>
      <c r="I39" s="10">
        <f ca="1">SUMIF($C$8:$C$38, "&lt;="&amp;TODAY(), $I$8:$I$38)</f>
        <v>500</v>
      </c>
      <c r="J39" s="10">
        <f ca="1">SUMIF($C$8:$C$38, "&lt;="&amp;TODAY(), $J$8:$J$38)</f>
        <v>23160</v>
      </c>
      <c r="L39" s="46" t="s">
        <v>0</v>
      </c>
      <c r="M39" s="47"/>
      <c r="N39" s="21">
        <f ca="1">SUMIF($L$8:$L$38, "&lt;="&amp;TODAY()-364, $N$8:$N$38)</f>
        <v>1207300</v>
      </c>
      <c r="O39" s="21">
        <f ca="1">SUMIF($L$8:$L$38, "&lt;="&amp;TODAY()-364, $O$8:$O$38)</f>
        <v>336600</v>
      </c>
      <c r="P39" s="9">
        <f ca="1">$O$39/$N$39</f>
        <v>0.27880394268201775</v>
      </c>
      <c r="Q39" s="10">
        <f ca="1">SUMIF($N$8:$N$38, "&lt;="&amp;TODAY()-364, $Q$8:$Q$38)</f>
        <v>0</v>
      </c>
      <c r="R39" s="10">
        <f ca="1">SUMIF($N$8:$N$38, "&lt;="&amp;TODAY()-364, $R$8:$R$38)</f>
        <v>0</v>
      </c>
      <c r="S39" s="10">
        <f ca="1">SUMIF($N$8:$N$38, "&lt;="&amp;TODAY()-364, $S$8:$S$38)</f>
        <v>0</v>
      </c>
      <c r="U39" s="46" t="s">
        <v>0</v>
      </c>
      <c r="V39" s="47"/>
      <c r="W39" s="21">
        <f ca="1">SUMIF($U$8:$U$38, "&lt;="&amp;TODAY()-728, $W$8:$W$38)</f>
        <v>1157500</v>
      </c>
      <c r="X39" s="21">
        <f ca="1">SUMIF($U$8:$U$38, "&lt;="&amp;TODAY()-728, $X$8:$X$38)</f>
        <v>335700</v>
      </c>
      <c r="Y39" s="9">
        <f ca="1">$X$39/$W$39</f>
        <v>0.29002159827213825</v>
      </c>
      <c r="Z39" s="10">
        <f ca="1">SUMIF($U$8:$U$38, "&lt;="&amp;TODAY()-728, $Z$8:$Z$38)</f>
        <v>22380</v>
      </c>
      <c r="AA39" s="10">
        <f ca="1">SUMIF($U$8:$U$38, "&lt;="&amp;TODAY()-728, $AA$8:$AA$38)</f>
        <v>600</v>
      </c>
      <c r="AB39" s="10">
        <f ca="1">SUMIF($U$8:$U$38, "&lt;="&amp;TODAY()-728, $AB$8:$AB$38)</f>
        <v>22980</v>
      </c>
      <c r="AD39" s="46" t="str">
        <f t="shared" si="7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1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17">E39</f>
        <v>1257100</v>
      </c>
      <c r="F43" s="49">
        <f t="shared" ca="1" si="17"/>
        <v>339900</v>
      </c>
      <c r="G43" s="50">
        <f t="shared" ca="1" si="17"/>
        <v>0.27038421764378329</v>
      </c>
      <c r="H43" s="51">
        <f t="shared" ca="1" si="17"/>
        <v>22660</v>
      </c>
      <c r="I43" s="51">
        <f t="shared" ca="1" si="17"/>
        <v>500</v>
      </c>
      <c r="J43" s="51">
        <f t="shared" ca="1" si="17"/>
        <v>23160</v>
      </c>
      <c r="L43" s="48" t="s">
        <v>15</v>
      </c>
      <c r="M43" s="47"/>
      <c r="N43" s="21">
        <f ca="1">SUMIF($L$6:$L$38, "&lt;="&amp;TODAY()-364, $N$6:$N$38)</f>
        <v>1216256</v>
      </c>
      <c r="O43" s="21">
        <f ca="1">SUMIF($L$6:$L$38, "&lt;="&amp;TODAY()-364, $O$6:$O$38)</f>
        <v>339990</v>
      </c>
      <c r="P43" s="9">
        <f ca="1">$O$39/$N$39</f>
        <v>0.27880394268201775</v>
      </c>
      <c r="Q43" s="10">
        <f ca="1">SUMIF($N$6:$N$38, "&lt;="&amp;TODAY()-364, $Q$6:$Q$38)</f>
        <v>226</v>
      </c>
      <c r="R43" s="10">
        <f ca="1">SUMIF(O10:O42, "&lt;="&amp;TODAY()-364, R10:R42)</f>
        <v>0</v>
      </c>
      <c r="S43" s="10">
        <f ca="1">SUMIF($P$6:$P$38, "&lt;="&amp;TODAY()-364, $S$6:$S$38)</f>
        <v>308026</v>
      </c>
      <c r="T43"/>
      <c r="U43" s="48" t="s">
        <v>15</v>
      </c>
      <c r="V43" s="47"/>
      <c r="W43" s="21">
        <f ca="1">SUMIF($U$6:$U$38, "&lt;="&amp;TODAY()-728, $W$6:$W$38)</f>
        <v>1515720</v>
      </c>
      <c r="X43" s="21">
        <f ca="1">SUMIF($U$6:$U$38, "&lt;="&amp;TODAY()-728, $X$6:$X$38)</f>
        <v>470100</v>
      </c>
      <c r="Y43" s="9">
        <f ca="1">$X$39/$W$39</f>
        <v>0.29002159827213825</v>
      </c>
      <c r="Z43" s="10">
        <f ca="1">SUMIF($U$6:$U$38, "&lt;="&amp;TODAY()-728, $Z$6:$Z$38)</f>
        <v>31340</v>
      </c>
      <c r="AA43" s="10">
        <f ca="1">SUMIF($U$6:$U$38, "&lt;="&amp;TODAY()-728, $AA$6:$AA$38)</f>
        <v>600</v>
      </c>
      <c r="AB43" s="10">
        <f ca="1">SUMIF($U$6:$U$38, "&lt;="&amp;TODAY()-728, $AB$6:$AB$38)</f>
        <v>31940</v>
      </c>
      <c r="AC43"/>
      <c r="AD43" s="46" t="str">
        <f t="shared" ref="AD43" si="18">$L43</f>
        <v>Totals</v>
      </c>
      <c r="AE43" s="47"/>
      <c r="AF43" s="41">
        <f ca="1">($E$43-$N$43)/$N$43</f>
        <v>3.3581745948221428E-2</v>
      </c>
      <c r="AG43" s="41">
        <f ca="1">($F$43-$O$43)/$O$43</f>
        <v>-2.6471366804906027E-4</v>
      </c>
      <c r="AH43" s="23"/>
      <c r="AI43" s="46" t="str">
        <f t="shared" ref="AI43" si="19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AI3:AL3"/>
    <mergeCell ref="AI4:AL4"/>
    <mergeCell ref="AI5:AK5"/>
    <mergeCell ref="AD3:AG3"/>
    <mergeCell ref="C4:E5"/>
    <mergeCell ref="L4:N5"/>
    <mergeCell ref="U4:W5"/>
    <mergeCell ref="AD5:AF5"/>
    <mergeCell ref="AD4:AG4"/>
    <mergeCell ref="C3:J3"/>
    <mergeCell ref="L3:S3"/>
    <mergeCell ref="U3:AB3"/>
    <mergeCell ref="AD42:AF42"/>
    <mergeCell ref="AI42:AK42"/>
    <mergeCell ref="C42:D42"/>
    <mergeCell ref="L42:M42"/>
    <mergeCell ref="U42:V42"/>
  </mergeCells>
  <conditionalFormatting sqref="AF8:AG38 AK8:AL38 E8:J38 W6:AB38 N6:S38">
    <cfRule type="expression" dxfId="290" priority="25">
      <formula>AND($C6&gt;$B$1)</formula>
    </cfRule>
  </conditionalFormatting>
  <conditionalFormatting sqref="AD8:AG38 AI9:AL38 C8:J38 U6:AB38 L7:S38">
    <cfRule type="expression" dxfId="289" priority="24">
      <formula>AND($C6=$B$1)</formula>
    </cfRule>
  </conditionalFormatting>
  <conditionalFormatting sqref="AD4 AG5">
    <cfRule type="cellIs" dxfId="288" priority="10" operator="lessThan">
      <formula>0</formula>
    </cfRule>
  </conditionalFormatting>
  <conditionalFormatting sqref="AI8:AL8">
    <cfRule type="expression" dxfId="287" priority="12">
      <formula>AND($C8=$B$1)</formula>
    </cfRule>
  </conditionalFormatting>
  <conditionalFormatting sqref="AK1:AK3 AK45 AK40 AK48:AK1048576">
    <cfRule type="cellIs" dxfId="286" priority="23" operator="greaterThan">
      <formula>0</formula>
    </cfRule>
  </conditionalFormatting>
  <conditionalFormatting sqref="AL1:AL3 AI4 AL45 AL40 AL48:AL1048576">
    <cfRule type="cellIs" dxfId="285" priority="22" operator="lessThan">
      <formula>0</formula>
    </cfRule>
  </conditionalFormatting>
  <conditionalFormatting sqref="AL5">
    <cfRule type="cellIs" dxfId="284" priority="9" operator="lessThan">
      <formula>0</formula>
    </cfRule>
  </conditionalFormatting>
  <conditionalFormatting sqref="AG42">
    <cfRule type="cellIs" dxfId="283" priority="5" operator="lessThan">
      <formula>0</formula>
    </cfRule>
  </conditionalFormatting>
  <conditionalFormatting sqref="AL42">
    <cfRule type="cellIs" dxfId="282" priority="4" operator="lessThan">
      <formula>0</formula>
    </cfRule>
  </conditionalFormatting>
  <conditionalFormatting sqref="AF43:AH43 AF39:AH39 AK39:AL39 AK43:AL43">
    <cfRule type="cellIs" dxfId="281" priority="3" operator="greaterThan">
      <formula>0</formula>
    </cfRule>
    <cfRule type="cellIs" dxfId="28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50EFE-EA00-4FD9-9FF0-7362060C633D}">
  <sheetPr codeName="Sheet2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phoneticPr fontId="12" type="noConversion"/>
  <conditionalFormatting sqref="AF8:AG38 AK8:AL38 E8:J38 W6:AB38 N6:S38">
    <cfRule type="expression" dxfId="279" priority="14">
      <formula>AND($C6&gt;$B$1)</formula>
    </cfRule>
  </conditionalFormatting>
  <conditionalFormatting sqref="AD8:AG38 AI9:AL38 C8:J38 U6:AB38 N7:S38">
    <cfRule type="expression" dxfId="278" priority="13">
      <formula>AND($C6=$B$1)</formula>
    </cfRule>
  </conditionalFormatting>
  <conditionalFormatting sqref="AD4 AG5">
    <cfRule type="cellIs" dxfId="277" priority="9" operator="lessThan">
      <formula>0</formula>
    </cfRule>
  </conditionalFormatting>
  <conditionalFormatting sqref="AI8:AL8">
    <cfRule type="expression" dxfId="276" priority="10">
      <formula>AND($C8=$B$1)</formula>
    </cfRule>
  </conditionalFormatting>
  <conditionalFormatting sqref="AK1:AK2 AK45 AK40 AK48:AK1048576">
    <cfRule type="cellIs" dxfId="275" priority="12" operator="greaterThan">
      <formula>0</formula>
    </cfRule>
  </conditionalFormatting>
  <conditionalFormatting sqref="AL1:AL2 AI4 AL45 AL40 AL48:AL1048576">
    <cfRule type="cellIs" dxfId="274" priority="11" operator="lessThan">
      <formula>0</formula>
    </cfRule>
  </conditionalFormatting>
  <conditionalFormatting sqref="AL5">
    <cfRule type="cellIs" dxfId="273" priority="8" operator="lessThan">
      <formula>0</formula>
    </cfRule>
  </conditionalFormatting>
  <conditionalFormatting sqref="AG42">
    <cfRule type="cellIs" dxfId="272" priority="7" operator="lessThan">
      <formula>0</formula>
    </cfRule>
  </conditionalFormatting>
  <conditionalFormatting sqref="AL42">
    <cfRule type="cellIs" dxfId="271" priority="6" operator="lessThan">
      <formula>0</formula>
    </cfRule>
  </conditionalFormatting>
  <conditionalFormatting sqref="AF43:AH43 AF39:AH39 AK39:AL39 AK43:AL43">
    <cfRule type="cellIs" dxfId="270" priority="4" operator="lessThan">
      <formula>0</formula>
    </cfRule>
    <cfRule type="cellIs" dxfId="269" priority="5" operator="greaterThan">
      <formula>0</formula>
    </cfRule>
  </conditionalFormatting>
  <conditionalFormatting sqref="AK3">
    <cfRule type="cellIs" dxfId="268" priority="3" operator="greaterThan">
      <formula>0</formula>
    </cfRule>
  </conditionalFormatting>
  <conditionalFormatting sqref="AL3">
    <cfRule type="cellIs" dxfId="267" priority="2" operator="lessThan">
      <formula>0</formula>
    </cfRule>
  </conditionalFormatting>
  <conditionalFormatting sqref="L7:M38">
    <cfRule type="expression" dxfId="266" priority="1">
      <formula>AND($C7=$B$1)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81CC0-5842-4A7B-835A-FD7867156FCE}">
  <sheetPr codeName="Sheet3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265" priority="14">
      <formula>AND($C6&gt;$B$1)</formula>
    </cfRule>
  </conditionalFormatting>
  <conditionalFormatting sqref="AD8:AG38 AI9:AL38 C8:J38 U6:AB38 N7:S38">
    <cfRule type="expression" dxfId="264" priority="13">
      <formula>AND($C6=$B$1)</formula>
    </cfRule>
  </conditionalFormatting>
  <conditionalFormatting sqref="AD4 AG5">
    <cfRule type="cellIs" dxfId="263" priority="9" operator="lessThan">
      <formula>0</formula>
    </cfRule>
  </conditionalFormatting>
  <conditionalFormatting sqref="AI8:AL8">
    <cfRule type="expression" dxfId="262" priority="10">
      <formula>AND($C8=$B$1)</formula>
    </cfRule>
  </conditionalFormatting>
  <conditionalFormatting sqref="AK1:AK2 AK45 AK40 AK48:AK1048576">
    <cfRule type="cellIs" dxfId="261" priority="12" operator="greaterThan">
      <formula>0</formula>
    </cfRule>
  </conditionalFormatting>
  <conditionalFormatting sqref="AL1:AL2 AI4 AL45 AL40 AL48:AL1048576">
    <cfRule type="cellIs" dxfId="260" priority="11" operator="lessThan">
      <formula>0</formula>
    </cfRule>
  </conditionalFormatting>
  <conditionalFormatting sqref="AL5">
    <cfRule type="cellIs" dxfId="259" priority="8" operator="lessThan">
      <formula>0</formula>
    </cfRule>
  </conditionalFormatting>
  <conditionalFormatting sqref="AG42">
    <cfRule type="cellIs" dxfId="258" priority="7" operator="lessThan">
      <formula>0</formula>
    </cfRule>
  </conditionalFormatting>
  <conditionalFormatting sqref="AL42">
    <cfRule type="cellIs" dxfId="257" priority="6" operator="lessThan">
      <formula>0</formula>
    </cfRule>
  </conditionalFormatting>
  <conditionalFormatting sqref="AF43:AH43 AF39:AH39 AK39:AL39 AK43:AL43">
    <cfRule type="cellIs" dxfId="256" priority="4" operator="lessThan">
      <formula>0</formula>
    </cfRule>
    <cfRule type="cellIs" dxfId="255" priority="5" operator="greaterThan">
      <formula>0</formula>
    </cfRule>
  </conditionalFormatting>
  <conditionalFormatting sqref="AK3">
    <cfRule type="cellIs" dxfId="254" priority="3" operator="greaterThan">
      <formula>0</formula>
    </cfRule>
  </conditionalFormatting>
  <conditionalFormatting sqref="AL3">
    <cfRule type="cellIs" dxfId="253" priority="2" operator="lessThan">
      <formula>0</formula>
    </cfRule>
  </conditionalFormatting>
  <conditionalFormatting sqref="L7:M38">
    <cfRule type="expression" dxfId="252" priority="1">
      <formula>AND($C7=$B$1)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4D52D-BF0A-4B18-9568-17ACD8E2AB33}">
  <sheetPr codeName="Sheet4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251" priority="14">
      <formula>AND($C6&gt;$B$1)</formula>
    </cfRule>
  </conditionalFormatting>
  <conditionalFormatting sqref="AD8:AG38 AI9:AL38 C8:J38 U6:AB38 N7:S38">
    <cfRule type="expression" dxfId="250" priority="13">
      <formula>AND($C6=$B$1)</formula>
    </cfRule>
  </conditionalFormatting>
  <conditionalFormatting sqref="AD4 AG5">
    <cfRule type="cellIs" dxfId="249" priority="9" operator="lessThan">
      <formula>0</formula>
    </cfRule>
  </conditionalFormatting>
  <conditionalFormatting sqref="AI8:AL8">
    <cfRule type="expression" dxfId="248" priority="10">
      <formula>AND($C8=$B$1)</formula>
    </cfRule>
  </conditionalFormatting>
  <conditionalFormatting sqref="AK1:AK2 AK45 AK40 AK48:AK1048576">
    <cfRule type="cellIs" dxfId="247" priority="12" operator="greaterThan">
      <formula>0</formula>
    </cfRule>
  </conditionalFormatting>
  <conditionalFormatting sqref="AL1:AL2 AI4 AL45 AL40 AL48:AL1048576">
    <cfRule type="cellIs" dxfId="246" priority="11" operator="lessThan">
      <formula>0</formula>
    </cfRule>
  </conditionalFormatting>
  <conditionalFormatting sqref="AL5">
    <cfRule type="cellIs" dxfId="245" priority="8" operator="lessThan">
      <formula>0</formula>
    </cfRule>
  </conditionalFormatting>
  <conditionalFormatting sqref="AG42">
    <cfRule type="cellIs" dxfId="244" priority="7" operator="lessThan">
      <formula>0</formula>
    </cfRule>
  </conditionalFormatting>
  <conditionalFormatting sqref="AL42">
    <cfRule type="cellIs" dxfId="243" priority="6" operator="lessThan">
      <formula>0</formula>
    </cfRule>
  </conditionalFormatting>
  <conditionalFormatting sqref="AF43:AH43 AF39:AH39 AK39:AL39 AK43:AL43">
    <cfRule type="cellIs" dxfId="242" priority="4" operator="lessThan">
      <formula>0</formula>
    </cfRule>
    <cfRule type="cellIs" dxfId="241" priority="5" operator="greaterThan">
      <formula>0</formula>
    </cfRule>
  </conditionalFormatting>
  <conditionalFormatting sqref="AK3">
    <cfRule type="cellIs" dxfId="240" priority="3" operator="greaterThan">
      <formula>0</formula>
    </cfRule>
  </conditionalFormatting>
  <conditionalFormatting sqref="AL3">
    <cfRule type="cellIs" dxfId="239" priority="2" operator="lessThan">
      <formula>0</formula>
    </cfRule>
  </conditionalFormatting>
  <conditionalFormatting sqref="L7:M38">
    <cfRule type="expression" dxfId="238" priority="1">
      <formula>AND($C7=$B$1)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2B508-F949-4793-9D7F-3A53C5F18101}">
  <sheetPr codeName="Sheet5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237" priority="14">
      <formula>AND($C6&gt;$B$1)</formula>
    </cfRule>
  </conditionalFormatting>
  <conditionalFormatting sqref="AD8:AG38 AI9:AL38 C8:J38 U6:AB38 N7:S38">
    <cfRule type="expression" dxfId="236" priority="13">
      <formula>AND($C6=$B$1)</formula>
    </cfRule>
  </conditionalFormatting>
  <conditionalFormatting sqref="AD4 AG5">
    <cfRule type="cellIs" dxfId="235" priority="9" operator="lessThan">
      <formula>0</formula>
    </cfRule>
  </conditionalFormatting>
  <conditionalFormatting sqref="AI8:AL8">
    <cfRule type="expression" dxfId="234" priority="10">
      <formula>AND($C8=$B$1)</formula>
    </cfRule>
  </conditionalFormatting>
  <conditionalFormatting sqref="AK1:AK2 AK45 AK40 AK48:AK1048576">
    <cfRule type="cellIs" dxfId="233" priority="12" operator="greaterThan">
      <formula>0</formula>
    </cfRule>
  </conditionalFormatting>
  <conditionalFormatting sqref="AL1:AL2 AI4 AL45 AL40 AL48:AL1048576">
    <cfRule type="cellIs" dxfId="232" priority="11" operator="lessThan">
      <formula>0</formula>
    </cfRule>
  </conditionalFormatting>
  <conditionalFormatting sqref="AL5">
    <cfRule type="cellIs" dxfId="231" priority="8" operator="lessThan">
      <formula>0</formula>
    </cfRule>
  </conditionalFormatting>
  <conditionalFormatting sqref="AG42">
    <cfRule type="cellIs" dxfId="230" priority="7" operator="lessThan">
      <formula>0</formula>
    </cfRule>
  </conditionalFormatting>
  <conditionalFormatting sqref="AL42">
    <cfRule type="cellIs" dxfId="229" priority="6" operator="lessThan">
      <formula>0</formula>
    </cfRule>
  </conditionalFormatting>
  <conditionalFormatting sqref="AF43:AH43 AF39:AH39 AK39:AL39 AK43:AL43">
    <cfRule type="cellIs" dxfId="228" priority="4" operator="lessThan">
      <formula>0</formula>
    </cfRule>
    <cfRule type="cellIs" dxfId="227" priority="5" operator="greaterThan">
      <formula>0</formula>
    </cfRule>
  </conditionalFormatting>
  <conditionalFormatting sqref="AK3">
    <cfRule type="cellIs" dxfId="226" priority="3" operator="greaterThan">
      <formula>0</formula>
    </cfRule>
  </conditionalFormatting>
  <conditionalFormatting sqref="AL3">
    <cfRule type="cellIs" dxfId="225" priority="2" operator="lessThan">
      <formula>0</formula>
    </cfRule>
  </conditionalFormatting>
  <conditionalFormatting sqref="L7:M38">
    <cfRule type="expression" dxfId="224" priority="1">
      <formula>AND($C7=$B$1)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FA3C5-FC29-431D-8C32-851EF836135B}">
  <sheetPr codeName="Sheet6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223" priority="14">
      <formula>AND($C6&gt;$B$1)</formula>
    </cfRule>
  </conditionalFormatting>
  <conditionalFormatting sqref="AD8:AG38 AI9:AL38 C8:J38 U6:AB38 N7:S38">
    <cfRule type="expression" dxfId="222" priority="13">
      <formula>AND($C6=$B$1)</formula>
    </cfRule>
  </conditionalFormatting>
  <conditionalFormatting sqref="AD4 AG5">
    <cfRule type="cellIs" dxfId="221" priority="9" operator="lessThan">
      <formula>0</formula>
    </cfRule>
  </conditionalFormatting>
  <conditionalFormatting sqref="AI8:AL8">
    <cfRule type="expression" dxfId="220" priority="10">
      <formula>AND($C8=$B$1)</formula>
    </cfRule>
  </conditionalFormatting>
  <conditionalFormatting sqref="AK1:AK2 AK45 AK40 AK48:AK1048576">
    <cfRule type="cellIs" dxfId="219" priority="12" operator="greaterThan">
      <formula>0</formula>
    </cfRule>
  </conditionalFormatting>
  <conditionalFormatting sqref="AL1:AL2 AI4 AL45 AL40 AL48:AL1048576">
    <cfRule type="cellIs" dxfId="218" priority="11" operator="lessThan">
      <formula>0</formula>
    </cfRule>
  </conditionalFormatting>
  <conditionalFormatting sqref="AL5">
    <cfRule type="cellIs" dxfId="217" priority="8" operator="lessThan">
      <formula>0</formula>
    </cfRule>
  </conditionalFormatting>
  <conditionalFormatting sqref="AG42">
    <cfRule type="cellIs" dxfId="216" priority="7" operator="lessThan">
      <formula>0</formula>
    </cfRule>
  </conditionalFormatting>
  <conditionalFormatting sqref="AL42">
    <cfRule type="cellIs" dxfId="215" priority="6" operator="lessThan">
      <formula>0</formula>
    </cfRule>
  </conditionalFormatting>
  <conditionalFormatting sqref="AF43:AH43 AF39:AH39 AK39:AL39 AK43:AL43">
    <cfRule type="cellIs" dxfId="214" priority="4" operator="lessThan">
      <formula>0</formula>
    </cfRule>
    <cfRule type="cellIs" dxfId="213" priority="5" operator="greaterThan">
      <formula>0</formula>
    </cfRule>
  </conditionalFormatting>
  <conditionalFormatting sqref="AK3">
    <cfRule type="cellIs" dxfId="212" priority="3" operator="greaterThan">
      <formula>0</formula>
    </cfRule>
  </conditionalFormatting>
  <conditionalFormatting sqref="AL3">
    <cfRule type="cellIs" dxfId="211" priority="2" operator="lessThan">
      <formula>0</formula>
    </cfRule>
  </conditionalFormatting>
  <conditionalFormatting sqref="L7:M38">
    <cfRule type="expression" dxfId="210" priority="1">
      <formula>AND($C7=$B$1)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BA653-A594-415C-A031-EFB40AA3885D}">
  <sheetPr codeName="Sheet7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209" priority="14">
      <formula>AND($C6&gt;$B$1)</formula>
    </cfRule>
  </conditionalFormatting>
  <conditionalFormatting sqref="AD8:AG38 AI9:AL38 C8:J38 U6:AB38 N7:S38">
    <cfRule type="expression" dxfId="208" priority="13">
      <formula>AND($C6=$B$1)</formula>
    </cfRule>
  </conditionalFormatting>
  <conditionalFormatting sqref="AD4 AG5">
    <cfRule type="cellIs" dxfId="207" priority="9" operator="lessThan">
      <formula>0</formula>
    </cfRule>
  </conditionalFormatting>
  <conditionalFormatting sqref="AI8:AL8">
    <cfRule type="expression" dxfId="206" priority="10">
      <formula>AND($C8=$B$1)</formula>
    </cfRule>
  </conditionalFormatting>
  <conditionalFormatting sqref="AK1:AK2 AK45 AK40 AK48:AK1048576">
    <cfRule type="cellIs" dxfId="205" priority="12" operator="greaterThan">
      <formula>0</formula>
    </cfRule>
  </conditionalFormatting>
  <conditionalFormatting sqref="AL1:AL2 AI4 AL45 AL40 AL48:AL1048576">
    <cfRule type="cellIs" dxfId="204" priority="11" operator="lessThan">
      <formula>0</formula>
    </cfRule>
  </conditionalFormatting>
  <conditionalFormatting sqref="AL5">
    <cfRule type="cellIs" dxfId="203" priority="8" operator="lessThan">
      <formula>0</formula>
    </cfRule>
  </conditionalFormatting>
  <conditionalFormatting sqref="AG42">
    <cfRule type="cellIs" dxfId="202" priority="7" operator="lessThan">
      <formula>0</formula>
    </cfRule>
  </conditionalFormatting>
  <conditionalFormatting sqref="AL42">
    <cfRule type="cellIs" dxfId="201" priority="6" operator="lessThan">
      <formula>0</formula>
    </cfRule>
  </conditionalFormatting>
  <conditionalFormatting sqref="AF43:AH43 AF39:AH39 AK39:AL39 AK43:AL43">
    <cfRule type="cellIs" dxfId="200" priority="4" operator="lessThan">
      <formula>0</formula>
    </cfRule>
    <cfRule type="cellIs" dxfId="199" priority="5" operator="greaterThan">
      <formula>0</formula>
    </cfRule>
  </conditionalFormatting>
  <conditionalFormatting sqref="AK3">
    <cfRule type="cellIs" dxfId="198" priority="3" operator="greaterThan">
      <formula>0</formula>
    </cfRule>
  </conditionalFormatting>
  <conditionalFormatting sqref="AL3">
    <cfRule type="cellIs" dxfId="197" priority="2" operator="lessThan">
      <formula>0</formula>
    </cfRule>
  </conditionalFormatting>
  <conditionalFormatting sqref="L7:M38">
    <cfRule type="expression" dxfId="196" priority="1">
      <formula>AND($C7=$B$1)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585D6-0269-4612-8CF4-87383F09DF6F}">
  <sheetPr codeName="Sheet8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195" priority="14">
      <formula>AND($C6&gt;$B$1)</formula>
    </cfRule>
  </conditionalFormatting>
  <conditionalFormatting sqref="AD8:AG38 AI9:AL38 C8:J38 U6:AB38 N7:S38">
    <cfRule type="expression" dxfId="194" priority="13">
      <formula>AND($C6=$B$1)</formula>
    </cfRule>
  </conditionalFormatting>
  <conditionalFormatting sqref="AD4 AG5">
    <cfRule type="cellIs" dxfId="193" priority="9" operator="lessThan">
      <formula>0</formula>
    </cfRule>
  </conditionalFormatting>
  <conditionalFormatting sqref="AI8:AL8">
    <cfRule type="expression" dxfId="192" priority="10">
      <formula>AND($C8=$B$1)</formula>
    </cfRule>
  </conditionalFormatting>
  <conditionalFormatting sqref="AK1:AK2 AK45 AK40 AK48:AK1048576">
    <cfRule type="cellIs" dxfId="191" priority="12" operator="greaterThan">
      <formula>0</formula>
    </cfRule>
  </conditionalFormatting>
  <conditionalFormatting sqref="AL1:AL2 AI4 AL45 AL40 AL48:AL1048576">
    <cfRule type="cellIs" dxfId="190" priority="11" operator="lessThan">
      <formula>0</formula>
    </cfRule>
  </conditionalFormatting>
  <conditionalFormatting sqref="AL5">
    <cfRule type="cellIs" dxfId="189" priority="8" operator="lessThan">
      <formula>0</formula>
    </cfRule>
  </conditionalFormatting>
  <conditionalFormatting sqref="AG42">
    <cfRule type="cellIs" dxfId="188" priority="7" operator="lessThan">
      <formula>0</formula>
    </cfRule>
  </conditionalFormatting>
  <conditionalFormatting sqref="AL42">
    <cfRule type="cellIs" dxfId="187" priority="6" operator="lessThan">
      <formula>0</formula>
    </cfRule>
  </conditionalFormatting>
  <conditionalFormatting sqref="AF43:AH43 AF39:AH39 AK39:AL39 AK43:AL43">
    <cfRule type="cellIs" dxfId="186" priority="4" operator="lessThan">
      <formula>0</formula>
    </cfRule>
    <cfRule type="cellIs" dxfId="185" priority="5" operator="greaterThan">
      <formula>0</formula>
    </cfRule>
  </conditionalFormatting>
  <conditionalFormatting sqref="AK3">
    <cfRule type="cellIs" dxfId="184" priority="3" operator="greaterThan">
      <formula>0</formula>
    </cfRule>
  </conditionalFormatting>
  <conditionalFormatting sqref="AL3">
    <cfRule type="cellIs" dxfId="183" priority="2" operator="lessThan">
      <formula>0</formula>
    </cfRule>
  </conditionalFormatting>
  <conditionalFormatting sqref="L7:M38">
    <cfRule type="expression" dxfId="182" priority="1">
      <formula>AND($C7=$B$1)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4FF14-3615-418B-A6ED-C5426BF6BC17}">
  <sheetPr codeName="Sheet9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181" priority="14">
      <formula>AND($C6&gt;$B$1)</formula>
    </cfRule>
  </conditionalFormatting>
  <conditionalFormatting sqref="AD8:AG38 AI9:AL38 C8:J38 U6:AB38 N7:S38">
    <cfRule type="expression" dxfId="180" priority="13">
      <formula>AND($C6=$B$1)</formula>
    </cfRule>
  </conditionalFormatting>
  <conditionalFormatting sqref="AD4 AG5">
    <cfRule type="cellIs" dxfId="179" priority="9" operator="lessThan">
      <formula>0</formula>
    </cfRule>
  </conditionalFormatting>
  <conditionalFormatting sqref="AI8:AL8">
    <cfRule type="expression" dxfId="178" priority="10">
      <formula>AND($C8=$B$1)</formula>
    </cfRule>
  </conditionalFormatting>
  <conditionalFormatting sqref="AK1:AK2 AK45 AK40 AK48:AK1048576">
    <cfRule type="cellIs" dxfId="177" priority="12" operator="greaterThan">
      <formula>0</formula>
    </cfRule>
  </conditionalFormatting>
  <conditionalFormatting sqref="AL1:AL2 AI4 AL45 AL40 AL48:AL1048576">
    <cfRule type="cellIs" dxfId="176" priority="11" operator="lessThan">
      <formula>0</formula>
    </cfRule>
  </conditionalFormatting>
  <conditionalFormatting sqref="AL5">
    <cfRule type="cellIs" dxfId="175" priority="8" operator="lessThan">
      <formula>0</formula>
    </cfRule>
  </conditionalFormatting>
  <conditionalFormatting sqref="AG42">
    <cfRule type="cellIs" dxfId="174" priority="7" operator="lessThan">
      <formula>0</formula>
    </cfRule>
  </conditionalFormatting>
  <conditionalFormatting sqref="AL42">
    <cfRule type="cellIs" dxfId="173" priority="6" operator="lessThan">
      <formula>0</formula>
    </cfRule>
  </conditionalFormatting>
  <conditionalFormatting sqref="AF43:AH43 AF39:AH39 AK39:AL39 AK43:AL43">
    <cfRule type="cellIs" dxfId="172" priority="4" operator="lessThan">
      <formula>0</formula>
    </cfRule>
    <cfRule type="cellIs" dxfId="171" priority="5" operator="greaterThan">
      <formula>0</formula>
    </cfRule>
  </conditionalFormatting>
  <conditionalFormatting sqref="AK3">
    <cfRule type="cellIs" dxfId="170" priority="3" operator="greaterThan">
      <formula>0</formula>
    </cfRule>
  </conditionalFormatting>
  <conditionalFormatting sqref="AL3">
    <cfRule type="cellIs" dxfId="169" priority="2" operator="lessThan">
      <formula>0</formula>
    </cfRule>
  </conditionalFormatting>
  <conditionalFormatting sqref="L7:M38">
    <cfRule type="expression" dxfId="168" priority="1">
      <formula>AND($C7=$B$1)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824FA-F5B4-4B54-8D13-7272FF1C2313}">
  <sheetPr codeName="Sheet10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167" priority="14">
      <formula>AND($C6&gt;$B$1)</formula>
    </cfRule>
  </conditionalFormatting>
  <conditionalFormatting sqref="AD8:AG38 AI9:AL38 C8:J38 U6:AB38 N7:S38">
    <cfRule type="expression" dxfId="166" priority="13">
      <formula>AND($C6=$B$1)</formula>
    </cfRule>
  </conditionalFormatting>
  <conditionalFormatting sqref="AD4 AG5">
    <cfRule type="cellIs" dxfId="165" priority="9" operator="lessThan">
      <formula>0</formula>
    </cfRule>
  </conditionalFormatting>
  <conditionalFormatting sqref="AI8:AL8">
    <cfRule type="expression" dxfId="164" priority="10">
      <formula>AND($C8=$B$1)</formula>
    </cfRule>
  </conditionalFormatting>
  <conditionalFormatting sqref="AK1:AK2 AK45 AK40 AK48:AK1048576">
    <cfRule type="cellIs" dxfId="163" priority="12" operator="greaterThan">
      <formula>0</formula>
    </cfRule>
  </conditionalFormatting>
  <conditionalFormatting sqref="AL1:AL2 AI4 AL45 AL40 AL48:AL1048576">
    <cfRule type="cellIs" dxfId="162" priority="11" operator="lessThan">
      <formula>0</formula>
    </cfRule>
  </conditionalFormatting>
  <conditionalFormatting sqref="AL5">
    <cfRule type="cellIs" dxfId="161" priority="8" operator="lessThan">
      <formula>0</formula>
    </cfRule>
  </conditionalFormatting>
  <conditionalFormatting sqref="AG42">
    <cfRule type="cellIs" dxfId="160" priority="7" operator="lessThan">
      <formula>0</formula>
    </cfRule>
  </conditionalFormatting>
  <conditionalFormatting sqref="AL42">
    <cfRule type="cellIs" dxfId="159" priority="6" operator="lessThan">
      <formula>0</formula>
    </cfRule>
  </conditionalFormatting>
  <conditionalFormatting sqref="AF43:AH43 AF39:AH39 AK39:AL39 AK43:AL43">
    <cfRule type="cellIs" dxfId="158" priority="4" operator="lessThan">
      <formula>0</formula>
    </cfRule>
    <cfRule type="cellIs" dxfId="157" priority="5" operator="greaterThan">
      <formula>0</formula>
    </cfRule>
  </conditionalFormatting>
  <conditionalFormatting sqref="AK3">
    <cfRule type="cellIs" dxfId="156" priority="3" operator="greaterThan">
      <formula>0</formula>
    </cfRule>
  </conditionalFormatting>
  <conditionalFormatting sqref="AL3">
    <cfRule type="cellIs" dxfId="155" priority="2" operator="lessThan">
      <formula>0</formula>
    </cfRule>
  </conditionalFormatting>
  <conditionalFormatting sqref="L7:M38">
    <cfRule type="expression" dxfId="154" priority="1">
      <formula>AND($C7=$B$1)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E2CC4-DA33-416B-AE7B-83E2AD82AD35}">
  <sheetPr codeName="Sheet11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153" priority="14">
      <formula>AND($C6&gt;$B$1)</formula>
    </cfRule>
  </conditionalFormatting>
  <conditionalFormatting sqref="AD8:AG38 AI9:AL38 C8:J38 U6:AB38 N7:S38">
    <cfRule type="expression" dxfId="152" priority="13">
      <formula>AND($C6=$B$1)</formula>
    </cfRule>
  </conditionalFormatting>
  <conditionalFormatting sqref="AD4 AG5">
    <cfRule type="cellIs" dxfId="151" priority="9" operator="lessThan">
      <formula>0</formula>
    </cfRule>
  </conditionalFormatting>
  <conditionalFormatting sqref="AI8:AL8">
    <cfRule type="expression" dxfId="150" priority="10">
      <formula>AND($C8=$B$1)</formula>
    </cfRule>
  </conditionalFormatting>
  <conditionalFormatting sqref="AK1:AK2 AK45 AK40 AK48:AK1048576">
    <cfRule type="cellIs" dxfId="149" priority="12" operator="greaterThan">
      <formula>0</formula>
    </cfRule>
  </conditionalFormatting>
  <conditionalFormatting sqref="AL1:AL2 AI4 AL45 AL40 AL48:AL1048576">
    <cfRule type="cellIs" dxfId="148" priority="11" operator="lessThan">
      <formula>0</formula>
    </cfRule>
  </conditionalFormatting>
  <conditionalFormatting sqref="AL5">
    <cfRule type="cellIs" dxfId="147" priority="8" operator="lessThan">
      <formula>0</formula>
    </cfRule>
  </conditionalFormatting>
  <conditionalFormatting sqref="AG42">
    <cfRule type="cellIs" dxfId="146" priority="7" operator="lessThan">
      <formula>0</formula>
    </cfRule>
  </conditionalFormatting>
  <conditionalFormatting sqref="AL42">
    <cfRule type="cellIs" dxfId="145" priority="6" operator="lessThan">
      <formula>0</formula>
    </cfRule>
  </conditionalFormatting>
  <conditionalFormatting sqref="AF43:AH43 AF39:AH39 AK39:AL39 AK43:AL43">
    <cfRule type="cellIs" dxfId="144" priority="4" operator="lessThan">
      <formula>0</formula>
    </cfRule>
    <cfRule type="cellIs" dxfId="143" priority="5" operator="greaterThan">
      <formula>0</formula>
    </cfRule>
  </conditionalFormatting>
  <conditionalFormatting sqref="AK3">
    <cfRule type="cellIs" dxfId="142" priority="3" operator="greaterThan">
      <formula>0</formula>
    </cfRule>
  </conditionalFormatting>
  <conditionalFormatting sqref="AL3">
    <cfRule type="cellIs" dxfId="141" priority="2" operator="lessThan">
      <formula>0</formula>
    </cfRule>
  </conditionalFormatting>
  <conditionalFormatting sqref="L7:M38">
    <cfRule type="expression" dxfId="140" priority="1">
      <formula>AND($C7=$B$1)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01CF-E7DF-4889-AEC4-BA09FFE8949C}">
  <sheetPr codeName="Sheet12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139" priority="14">
      <formula>AND($C6&gt;$B$1)</formula>
    </cfRule>
  </conditionalFormatting>
  <conditionalFormatting sqref="AD8:AG38 AI9:AL38 C8:J38 U6:AB38 N7:S38">
    <cfRule type="expression" dxfId="138" priority="13">
      <formula>AND($C6=$B$1)</formula>
    </cfRule>
  </conditionalFormatting>
  <conditionalFormatting sqref="AD4 AG5">
    <cfRule type="cellIs" dxfId="137" priority="9" operator="lessThan">
      <formula>0</formula>
    </cfRule>
  </conditionalFormatting>
  <conditionalFormatting sqref="AI8:AL8">
    <cfRule type="expression" dxfId="136" priority="10">
      <formula>AND($C8=$B$1)</formula>
    </cfRule>
  </conditionalFormatting>
  <conditionalFormatting sqref="AK1:AK2 AK45 AK40 AK48:AK1048576">
    <cfRule type="cellIs" dxfId="135" priority="12" operator="greaterThan">
      <formula>0</formula>
    </cfRule>
  </conditionalFormatting>
  <conditionalFormatting sqref="AL1:AL2 AI4 AL45 AL40 AL48:AL1048576">
    <cfRule type="cellIs" dxfId="134" priority="11" operator="lessThan">
      <formula>0</formula>
    </cfRule>
  </conditionalFormatting>
  <conditionalFormatting sqref="AL5">
    <cfRule type="cellIs" dxfId="133" priority="8" operator="lessThan">
      <formula>0</formula>
    </cfRule>
  </conditionalFormatting>
  <conditionalFormatting sqref="AG42">
    <cfRule type="cellIs" dxfId="132" priority="7" operator="lessThan">
      <formula>0</formula>
    </cfRule>
  </conditionalFormatting>
  <conditionalFormatting sqref="AL42">
    <cfRule type="cellIs" dxfId="131" priority="6" operator="lessThan">
      <formula>0</formula>
    </cfRule>
  </conditionalFormatting>
  <conditionalFormatting sqref="AF43:AH43 AF39:AH39 AK39:AL39 AK43:AL43">
    <cfRule type="cellIs" dxfId="130" priority="4" operator="lessThan">
      <formula>0</formula>
    </cfRule>
    <cfRule type="cellIs" dxfId="129" priority="5" operator="greaterThan">
      <formula>0</formula>
    </cfRule>
  </conditionalFormatting>
  <conditionalFormatting sqref="AK3">
    <cfRule type="cellIs" dxfId="128" priority="3" operator="greaterThan">
      <formula>0</formula>
    </cfRule>
  </conditionalFormatting>
  <conditionalFormatting sqref="AL3">
    <cfRule type="cellIs" dxfId="127" priority="2" operator="lessThan">
      <formula>0</formula>
    </cfRule>
  </conditionalFormatting>
  <conditionalFormatting sqref="L7:M38">
    <cfRule type="expression" dxfId="126" priority="1">
      <formula>AND($C7=$B$1)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1CA93-E64E-4B79-AB7D-32567CB7B709}">
  <sheetPr codeName="Sheet13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125" priority="14">
      <formula>AND($C6&gt;$B$1)</formula>
    </cfRule>
  </conditionalFormatting>
  <conditionalFormatting sqref="AD8:AG38 AI9:AL38 C8:J38 U6:AB38 N7:S38">
    <cfRule type="expression" dxfId="124" priority="13">
      <formula>AND($C6=$B$1)</formula>
    </cfRule>
  </conditionalFormatting>
  <conditionalFormatting sqref="AD4 AG5">
    <cfRule type="cellIs" dxfId="123" priority="9" operator="lessThan">
      <formula>0</formula>
    </cfRule>
  </conditionalFormatting>
  <conditionalFormatting sqref="AI8:AL8">
    <cfRule type="expression" dxfId="122" priority="10">
      <formula>AND($C8=$B$1)</formula>
    </cfRule>
  </conditionalFormatting>
  <conditionalFormatting sqref="AK1:AK2 AK45 AK40 AK48:AK1048576">
    <cfRule type="cellIs" dxfId="121" priority="12" operator="greaterThan">
      <formula>0</formula>
    </cfRule>
  </conditionalFormatting>
  <conditionalFormatting sqref="AL1:AL2 AI4 AL45 AL40 AL48:AL1048576">
    <cfRule type="cellIs" dxfId="120" priority="11" operator="lessThan">
      <formula>0</formula>
    </cfRule>
  </conditionalFormatting>
  <conditionalFormatting sqref="AL5">
    <cfRule type="cellIs" dxfId="119" priority="8" operator="lessThan">
      <formula>0</formula>
    </cfRule>
  </conditionalFormatting>
  <conditionalFormatting sqref="AG42">
    <cfRule type="cellIs" dxfId="118" priority="7" operator="lessThan">
      <formula>0</formula>
    </cfRule>
  </conditionalFormatting>
  <conditionalFormatting sqref="AL42">
    <cfRule type="cellIs" dxfId="117" priority="6" operator="lessThan">
      <formula>0</formula>
    </cfRule>
  </conditionalFormatting>
  <conditionalFormatting sqref="AF43:AH43 AF39:AH39 AK39:AL39 AK43:AL43">
    <cfRule type="cellIs" dxfId="116" priority="4" operator="lessThan">
      <formula>0</formula>
    </cfRule>
    <cfRule type="cellIs" dxfId="115" priority="5" operator="greaterThan">
      <formula>0</formula>
    </cfRule>
  </conditionalFormatting>
  <conditionalFormatting sqref="AK3">
    <cfRule type="cellIs" dxfId="114" priority="3" operator="greaterThan">
      <formula>0</formula>
    </cfRule>
  </conditionalFormatting>
  <conditionalFormatting sqref="AL3">
    <cfRule type="cellIs" dxfId="113" priority="2" operator="lessThan">
      <formula>0</formula>
    </cfRule>
  </conditionalFormatting>
  <conditionalFormatting sqref="L7:M38">
    <cfRule type="expression" dxfId="112" priority="1">
      <formula>AND($C7=$B$1)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D3603-DA8F-49F7-AE72-3E5F0CE0094F}">
  <sheetPr codeName="Sheet14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111" priority="14">
      <formula>AND($C6&gt;$B$1)</formula>
    </cfRule>
  </conditionalFormatting>
  <conditionalFormatting sqref="AD8:AG38 AI9:AL38 C8:J38 U6:AB38 N7:S38">
    <cfRule type="expression" dxfId="110" priority="13">
      <formula>AND($C6=$B$1)</formula>
    </cfRule>
  </conditionalFormatting>
  <conditionalFormatting sqref="AD4 AG5">
    <cfRule type="cellIs" dxfId="109" priority="9" operator="lessThan">
      <formula>0</formula>
    </cfRule>
  </conditionalFormatting>
  <conditionalFormatting sqref="AI8:AL8">
    <cfRule type="expression" dxfId="108" priority="10">
      <formula>AND($C8=$B$1)</formula>
    </cfRule>
  </conditionalFormatting>
  <conditionalFormatting sqref="AK1:AK2 AK45 AK40 AK48:AK1048576">
    <cfRule type="cellIs" dxfId="107" priority="12" operator="greaterThan">
      <formula>0</formula>
    </cfRule>
  </conditionalFormatting>
  <conditionalFormatting sqref="AL1:AL2 AI4 AL45 AL40 AL48:AL1048576">
    <cfRule type="cellIs" dxfId="106" priority="11" operator="lessThan">
      <formula>0</formula>
    </cfRule>
  </conditionalFormatting>
  <conditionalFormatting sqref="AL5">
    <cfRule type="cellIs" dxfId="105" priority="8" operator="lessThan">
      <formula>0</formula>
    </cfRule>
  </conditionalFormatting>
  <conditionalFormatting sqref="AG42">
    <cfRule type="cellIs" dxfId="104" priority="7" operator="lessThan">
      <formula>0</formula>
    </cfRule>
  </conditionalFormatting>
  <conditionalFormatting sqref="AL42">
    <cfRule type="cellIs" dxfId="103" priority="6" operator="lessThan">
      <formula>0</formula>
    </cfRule>
  </conditionalFormatting>
  <conditionalFormatting sqref="AF43:AH43 AF39:AH39 AK39:AL39 AK43:AL43">
    <cfRule type="cellIs" dxfId="102" priority="4" operator="lessThan">
      <formula>0</formula>
    </cfRule>
    <cfRule type="cellIs" dxfId="101" priority="5" operator="greaterThan">
      <formula>0</formula>
    </cfRule>
  </conditionalFormatting>
  <conditionalFormatting sqref="AK3">
    <cfRule type="cellIs" dxfId="100" priority="3" operator="greaterThan">
      <formula>0</formula>
    </cfRule>
  </conditionalFormatting>
  <conditionalFormatting sqref="AL3">
    <cfRule type="cellIs" dxfId="99" priority="2" operator="lessThan">
      <formula>0</formula>
    </cfRule>
  </conditionalFormatting>
  <conditionalFormatting sqref="L7:M38">
    <cfRule type="expression" dxfId="98" priority="1">
      <formula>AND($C7=$B$1)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D6FBD-A0BD-486D-99D3-3AF78DA363BC}">
  <sheetPr codeName="Sheet15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97" priority="14">
      <formula>AND($C6&gt;$B$1)</formula>
    </cfRule>
  </conditionalFormatting>
  <conditionalFormatting sqref="AD8:AG38 AI9:AL38 C8:J38 U6:AB38 N7:S38">
    <cfRule type="expression" dxfId="96" priority="13">
      <formula>AND($C6=$B$1)</formula>
    </cfRule>
  </conditionalFormatting>
  <conditionalFormatting sqref="AD4 AG5">
    <cfRule type="cellIs" dxfId="95" priority="9" operator="lessThan">
      <formula>0</formula>
    </cfRule>
  </conditionalFormatting>
  <conditionalFormatting sqref="AI8:AL8">
    <cfRule type="expression" dxfId="94" priority="10">
      <formula>AND($C8=$B$1)</formula>
    </cfRule>
  </conditionalFormatting>
  <conditionalFormatting sqref="AK1:AK2 AK45 AK40 AK48:AK1048576">
    <cfRule type="cellIs" dxfId="93" priority="12" operator="greaterThan">
      <formula>0</formula>
    </cfRule>
  </conditionalFormatting>
  <conditionalFormatting sqref="AL1:AL2 AI4 AL45 AL40 AL48:AL1048576">
    <cfRule type="cellIs" dxfId="92" priority="11" operator="lessThan">
      <formula>0</formula>
    </cfRule>
  </conditionalFormatting>
  <conditionalFormatting sqref="AL5">
    <cfRule type="cellIs" dxfId="91" priority="8" operator="lessThan">
      <formula>0</formula>
    </cfRule>
  </conditionalFormatting>
  <conditionalFormatting sqref="AG42">
    <cfRule type="cellIs" dxfId="90" priority="7" operator="lessThan">
      <formula>0</formula>
    </cfRule>
  </conditionalFormatting>
  <conditionalFormatting sqref="AL42">
    <cfRule type="cellIs" dxfId="89" priority="6" operator="lessThan">
      <formula>0</formula>
    </cfRule>
  </conditionalFormatting>
  <conditionalFormatting sqref="AF43:AH43 AF39:AH39 AK39:AL39 AK43:AL43">
    <cfRule type="cellIs" dxfId="88" priority="4" operator="lessThan">
      <formula>0</formula>
    </cfRule>
    <cfRule type="cellIs" dxfId="87" priority="5" operator="greaterThan">
      <formula>0</formula>
    </cfRule>
  </conditionalFormatting>
  <conditionalFormatting sqref="AK3">
    <cfRule type="cellIs" dxfId="86" priority="3" operator="greaterThan">
      <formula>0</formula>
    </cfRule>
  </conditionalFormatting>
  <conditionalFormatting sqref="AL3">
    <cfRule type="cellIs" dxfId="85" priority="2" operator="lessThan">
      <formula>0</formula>
    </cfRule>
  </conditionalFormatting>
  <conditionalFormatting sqref="L7:M38">
    <cfRule type="expression" dxfId="84" priority="1">
      <formula>AND($C7=$B$1)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7C8E4-B16A-4CCB-BDE2-9A470965756D}">
  <sheetPr codeName="Sheet16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83" priority="14">
      <formula>AND($C6&gt;$B$1)</formula>
    </cfRule>
  </conditionalFormatting>
  <conditionalFormatting sqref="AD8:AG38 AI9:AL38 C8:J38 U6:AB38 N7:S38">
    <cfRule type="expression" dxfId="82" priority="13">
      <formula>AND($C6=$B$1)</formula>
    </cfRule>
  </conditionalFormatting>
  <conditionalFormatting sqref="AD4 AG5">
    <cfRule type="cellIs" dxfId="81" priority="9" operator="lessThan">
      <formula>0</formula>
    </cfRule>
  </conditionalFormatting>
  <conditionalFormatting sqref="AI8:AL8">
    <cfRule type="expression" dxfId="80" priority="10">
      <formula>AND($C8=$B$1)</formula>
    </cfRule>
  </conditionalFormatting>
  <conditionalFormatting sqref="AK1:AK2 AK45 AK40 AK48:AK1048576">
    <cfRule type="cellIs" dxfId="79" priority="12" operator="greaterThan">
      <formula>0</formula>
    </cfRule>
  </conditionalFormatting>
  <conditionalFormatting sqref="AL1:AL2 AI4 AL45 AL40 AL48:AL1048576">
    <cfRule type="cellIs" dxfId="78" priority="11" operator="lessThan">
      <formula>0</formula>
    </cfRule>
  </conditionalFormatting>
  <conditionalFormatting sqref="AL5">
    <cfRule type="cellIs" dxfId="77" priority="8" operator="lessThan">
      <formula>0</formula>
    </cfRule>
  </conditionalFormatting>
  <conditionalFormatting sqref="AG42">
    <cfRule type="cellIs" dxfId="76" priority="7" operator="lessThan">
      <formula>0</formula>
    </cfRule>
  </conditionalFormatting>
  <conditionalFormatting sqref="AL42">
    <cfRule type="cellIs" dxfId="75" priority="6" operator="lessThan">
      <formula>0</formula>
    </cfRule>
  </conditionalFormatting>
  <conditionalFormatting sqref="AF43:AH43 AF39:AH39 AK39:AL39 AK43:AL43">
    <cfRule type="cellIs" dxfId="74" priority="4" operator="lessThan">
      <formula>0</formula>
    </cfRule>
    <cfRule type="cellIs" dxfId="73" priority="5" operator="greaterThan">
      <formula>0</formula>
    </cfRule>
  </conditionalFormatting>
  <conditionalFormatting sqref="AK3">
    <cfRule type="cellIs" dxfId="72" priority="3" operator="greaterThan">
      <formula>0</formula>
    </cfRule>
  </conditionalFormatting>
  <conditionalFormatting sqref="AL3">
    <cfRule type="cellIs" dxfId="71" priority="2" operator="lessThan">
      <formula>0</formula>
    </cfRule>
  </conditionalFormatting>
  <conditionalFormatting sqref="L7:M38">
    <cfRule type="expression" dxfId="70" priority="1">
      <formula>AND($C7=$B$1)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A5CCF-C7D1-47B3-8912-9AEA3B1E0A68}">
  <sheetPr codeName="Sheet17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69" priority="14">
      <formula>AND($C6&gt;$B$1)</formula>
    </cfRule>
  </conditionalFormatting>
  <conditionalFormatting sqref="AD8:AG38 AI9:AL38 C8:J38 U6:AB38 N7:S38">
    <cfRule type="expression" dxfId="68" priority="13">
      <formula>AND($C6=$B$1)</formula>
    </cfRule>
  </conditionalFormatting>
  <conditionalFormatting sqref="AD4 AG5">
    <cfRule type="cellIs" dxfId="67" priority="9" operator="lessThan">
      <formula>0</formula>
    </cfRule>
  </conditionalFormatting>
  <conditionalFormatting sqref="AI8:AL8">
    <cfRule type="expression" dxfId="66" priority="10">
      <formula>AND($C8=$B$1)</formula>
    </cfRule>
  </conditionalFormatting>
  <conditionalFormatting sqref="AK1:AK2 AK45 AK40 AK48:AK1048576">
    <cfRule type="cellIs" dxfId="65" priority="12" operator="greaterThan">
      <formula>0</formula>
    </cfRule>
  </conditionalFormatting>
  <conditionalFormatting sqref="AL1:AL2 AI4 AL45 AL40 AL48:AL1048576">
    <cfRule type="cellIs" dxfId="64" priority="11" operator="lessThan">
      <formula>0</formula>
    </cfRule>
  </conditionalFormatting>
  <conditionalFormatting sqref="AL5">
    <cfRule type="cellIs" dxfId="63" priority="8" operator="lessThan">
      <formula>0</formula>
    </cfRule>
  </conditionalFormatting>
  <conditionalFormatting sqref="AG42">
    <cfRule type="cellIs" dxfId="62" priority="7" operator="lessThan">
      <formula>0</formula>
    </cfRule>
  </conditionalFormatting>
  <conditionalFormatting sqref="AL42">
    <cfRule type="cellIs" dxfId="61" priority="6" operator="lessThan">
      <formula>0</formula>
    </cfRule>
  </conditionalFormatting>
  <conditionalFormatting sqref="AF43:AH43 AF39:AH39 AK39:AL39 AK43:AL43">
    <cfRule type="cellIs" dxfId="60" priority="4" operator="lessThan">
      <formula>0</formula>
    </cfRule>
    <cfRule type="cellIs" dxfId="59" priority="5" operator="greaterThan">
      <formula>0</formula>
    </cfRule>
  </conditionalFormatting>
  <conditionalFormatting sqref="AK3">
    <cfRule type="cellIs" dxfId="58" priority="3" operator="greaterThan">
      <formula>0</formula>
    </cfRule>
  </conditionalFormatting>
  <conditionalFormatting sqref="AL3">
    <cfRule type="cellIs" dxfId="57" priority="2" operator="lessThan">
      <formula>0</formula>
    </cfRule>
  </conditionalFormatting>
  <conditionalFormatting sqref="L7:M38">
    <cfRule type="expression" dxfId="56" priority="1">
      <formula>AND($C7=$B$1)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A0E66-BA52-4F59-A6D0-BEB2F3D7E982}">
  <sheetPr codeName="Sheet18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55" priority="14">
      <formula>AND($C6&gt;$B$1)</formula>
    </cfRule>
  </conditionalFormatting>
  <conditionalFormatting sqref="AD8:AG38 AI9:AL38 C8:J38 U6:AB38 N7:S38">
    <cfRule type="expression" dxfId="54" priority="13">
      <formula>AND($C6=$B$1)</formula>
    </cfRule>
  </conditionalFormatting>
  <conditionalFormatting sqref="AD4 AG5">
    <cfRule type="cellIs" dxfId="53" priority="9" operator="lessThan">
      <formula>0</formula>
    </cfRule>
  </conditionalFormatting>
  <conditionalFormatting sqref="AI8:AL8">
    <cfRule type="expression" dxfId="52" priority="10">
      <formula>AND($C8=$B$1)</formula>
    </cfRule>
  </conditionalFormatting>
  <conditionalFormatting sqref="AK1:AK2 AK45 AK40 AK48:AK1048576">
    <cfRule type="cellIs" dxfId="51" priority="12" operator="greaterThan">
      <formula>0</formula>
    </cfRule>
  </conditionalFormatting>
  <conditionalFormatting sqref="AL1:AL2 AI4 AL45 AL40 AL48:AL1048576">
    <cfRule type="cellIs" dxfId="50" priority="11" operator="lessThan">
      <formula>0</formula>
    </cfRule>
  </conditionalFormatting>
  <conditionalFormatting sqref="AL5">
    <cfRule type="cellIs" dxfId="49" priority="8" operator="lessThan">
      <formula>0</formula>
    </cfRule>
  </conditionalFormatting>
  <conditionalFormatting sqref="AG42">
    <cfRule type="cellIs" dxfId="48" priority="7" operator="lessThan">
      <formula>0</formula>
    </cfRule>
  </conditionalFormatting>
  <conditionalFormatting sqref="AL42">
    <cfRule type="cellIs" dxfId="47" priority="6" operator="lessThan">
      <formula>0</formula>
    </cfRule>
  </conditionalFormatting>
  <conditionalFormatting sqref="AF43:AH43 AF39:AH39 AK39:AL39 AK43:AL43">
    <cfRule type="cellIs" dxfId="46" priority="4" operator="lessThan">
      <formula>0</formula>
    </cfRule>
    <cfRule type="cellIs" dxfId="45" priority="5" operator="greaterThan">
      <formula>0</formula>
    </cfRule>
  </conditionalFormatting>
  <conditionalFormatting sqref="AK3">
    <cfRule type="cellIs" dxfId="44" priority="3" operator="greaterThan">
      <formula>0</formula>
    </cfRule>
  </conditionalFormatting>
  <conditionalFormatting sqref="AL3">
    <cfRule type="cellIs" dxfId="43" priority="2" operator="lessThan">
      <formula>0</formula>
    </cfRule>
  </conditionalFormatting>
  <conditionalFormatting sqref="L7:M38">
    <cfRule type="expression" dxfId="42" priority="1">
      <formula>AND($C7=$B$1)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D6812-CC8E-4832-AA27-EB03C5A2EB43}">
  <sheetPr codeName="Sheet19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41" priority="14">
      <formula>AND($C6&gt;$B$1)</formula>
    </cfRule>
  </conditionalFormatting>
  <conditionalFormatting sqref="AD8:AG38 AI9:AL38 C8:J38 U6:AB38 N7:S38">
    <cfRule type="expression" dxfId="40" priority="13">
      <formula>AND($C6=$B$1)</formula>
    </cfRule>
  </conditionalFormatting>
  <conditionalFormatting sqref="AD4 AG5">
    <cfRule type="cellIs" dxfId="39" priority="9" operator="lessThan">
      <formula>0</formula>
    </cfRule>
  </conditionalFormatting>
  <conditionalFormatting sqref="AI8:AL8">
    <cfRule type="expression" dxfId="38" priority="10">
      <formula>AND($C8=$B$1)</formula>
    </cfRule>
  </conditionalFormatting>
  <conditionalFormatting sqref="AK1:AK2 AK45 AK40 AK48:AK1048576">
    <cfRule type="cellIs" dxfId="37" priority="12" operator="greaterThan">
      <formula>0</formula>
    </cfRule>
  </conditionalFormatting>
  <conditionalFormatting sqref="AL1:AL2 AI4 AL45 AL40 AL48:AL1048576">
    <cfRule type="cellIs" dxfId="36" priority="11" operator="lessThan">
      <formula>0</formula>
    </cfRule>
  </conditionalFormatting>
  <conditionalFormatting sqref="AL5">
    <cfRule type="cellIs" dxfId="35" priority="8" operator="lessThan">
      <formula>0</formula>
    </cfRule>
  </conditionalFormatting>
  <conditionalFormatting sqref="AG42">
    <cfRule type="cellIs" dxfId="34" priority="7" operator="lessThan">
      <formula>0</formula>
    </cfRule>
  </conditionalFormatting>
  <conditionalFormatting sqref="AL42">
    <cfRule type="cellIs" dxfId="33" priority="6" operator="lessThan">
      <formula>0</formula>
    </cfRule>
  </conditionalFormatting>
  <conditionalFormatting sqref="AF43:AH43 AF39:AH39 AK39:AL39 AK43:AL43">
    <cfRule type="cellIs" dxfId="32" priority="4" operator="lessThan">
      <formula>0</formula>
    </cfRule>
    <cfRule type="cellIs" dxfId="31" priority="5" operator="greaterThan">
      <formula>0</formula>
    </cfRule>
  </conditionalFormatting>
  <conditionalFormatting sqref="AK3">
    <cfRule type="cellIs" dxfId="30" priority="3" operator="greaterThan">
      <formula>0</formula>
    </cfRule>
  </conditionalFormatting>
  <conditionalFormatting sqref="AL3">
    <cfRule type="cellIs" dxfId="29" priority="2" operator="lessThan">
      <formula>0</formula>
    </cfRule>
  </conditionalFormatting>
  <conditionalFormatting sqref="L7:M38">
    <cfRule type="expression" dxfId="28" priority="1">
      <formula>AND($C7=$B$1)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43AC-D6D9-4046-92D7-18CD3F35EDA9}">
  <sheetPr codeName="Sheet20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27" priority="14">
      <formula>AND($C6&gt;$B$1)</formula>
    </cfRule>
  </conditionalFormatting>
  <conditionalFormatting sqref="AD8:AG38 AI9:AL38 C8:J38 U6:AB38 N7:S38">
    <cfRule type="expression" dxfId="26" priority="13">
      <formula>AND($C6=$B$1)</formula>
    </cfRule>
  </conditionalFormatting>
  <conditionalFormatting sqref="AD4 AG5">
    <cfRule type="cellIs" dxfId="25" priority="9" operator="lessThan">
      <formula>0</formula>
    </cfRule>
  </conditionalFormatting>
  <conditionalFormatting sqref="AI8:AL8">
    <cfRule type="expression" dxfId="24" priority="10">
      <formula>AND($C8=$B$1)</formula>
    </cfRule>
  </conditionalFormatting>
  <conditionalFormatting sqref="AK1:AK2 AK45 AK40 AK48:AK1048576">
    <cfRule type="cellIs" dxfId="23" priority="12" operator="greaterThan">
      <formula>0</formula>
    </cfRule>
  </conditionalFormatting>
  <conditionalFormatting sqref="AL1:AL2 AI4 AL45 AL40 AL48:AL1048576">
    <cfRule type="cellIs" dxfId="22" priority="11" operator="lessThan">
      <formula>0</formula>
    </cfRule>
  </conditionalFormatting>
  <conditionalFormatting sqref="AL5">
    <cfRule type="cellIs" dxfId="21" priority="8" operator="lessThan">
      <formula>0</formula>
    </cfRule>
  </conditionalFormatting>
  <conditionalFormatting sqref="AG42">
    <cfRule type="cellIs" dxfId="20" priority="7" operator="lessThan">
      <formula>0</formula>
    </cfRule>
  </conditionalFormatting>
  <conditionalFormatting sqref="AL42">
    <cfRule type="cellIs" dxfId="19" priority="6" operator="lessThan">
      <formula>0</formula>
    </cfRule>
  </conditionalFormatting>
  <conditionalFormatting sqref="AF43:AH43 AF39:AH39 AK39:AL39 AK43:AL43">
    <cfRule type="cellIs" dxfId="18" priority="4" operator="lessThan">
      <formula>0</formula>
    </cfRule>
    <cfRule type="cellIs" dxfId="17" priority="5" operator="greaterThan">
      <formula>0</formula>
    </cfRule>
  </conditionalFormatting>
  <conditionalFormatting sqref="AK3">
    <cfRule type="cellIs" dxfId="16" priority="3" operator="greaterThan">
      <formula>0</formula>
    </cfRule>
  </conditionalFormatting>
  <conditionalFormatting sqref="AL3">
    <cfRule type="cellIs" dxfId="15" priority="2" operator="lessThan">
      <formula>0</formula>
    </cfRule>
  </conditionalFormatting>
  <conditionalFormatting sqref="L7:M38">
    <cfRule type="expression" dxfId="14" priority="1">
      <formula>AND($C7=$B$1)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3F315-8209-46CF-A483-E0B545DAB0E0}">
  <sheetPr codeName="Sheet21"/>
  <dimension ref="A1:AL44"/>
  <sheetViews>
    <sheetView topLeftCell="B2" workbookViewId="0">
      <selection activeCell="X15" sqref="X15"/>
    </sheetView>
  </sheetViews>
  <sheetFormatPr defaultColWidth="8.85546875" defaultRowHeight="15" x14ac:dyDescent="0.25"/>
  <cols>
    <col min="1" max="1" width="2.140625" style="17" hidden="1" customWidth="1"/>
    <col min="2" max="2" width="2.85546875" style="17" customWidth="1"/>
    <col min="3" max="3" width="9.42578125" style="1" customWidth="1"/>
    <col min="4" max="4" width="3.42578125" style="2" customWidth="1"/>
    <col min="5" max="5" width="11.140625" style="1" bestFit="1" customWidth="1"/>
    <col min="6" max="6" width="10.140625" style="1" customWidth="1"/>
    <col min="7" max="7" width="8.85546875" style="1" bestFit="1" customWidth="1"/>
    <col min="8" max="8" width="7.5703125" style="61" bestFit="1" customWidth="1"/>
    <col min="9" max="9" width="5.5703125" style="61" bestFit="1" customWidth="1"/>
    <col min="10" max="10" width="7.5703125" style="61" bestFit="1" customWidth="1"/>
    <col min="11" max="11" width="2.5703125" style="1" customWidth="1"/>
    <col min="12" max="12" width="10.28515625" style="1" customWidth="1"/>
    <col min="13" max="13" width="2.85546875" style="2" bestFit="1" customWidth="1"/>
    <col min="14" max="14" width="11.140625" style="1" bestFit="1" customWidth="1"/>
    <col min="15" max="15" width="10.140625" style="1" bestFit="1" customWidth="1"/>
    <col min="16" max="16" width="8.85546875" style="1" bestFit="1" customWidth="1"/>
    <col min="17" max="17" width="6.5703125" style="61" bestFit="1" customWidth="1"/>
    <col min="18" max="18" width="4" style="61" bestFit="1" customWidth="1"/>
    <col min="19" max="19" width="7.5703125" style="61" bestFit="1" customWidth="1"/>
    <col min="20" max="20" width="2.5703125" style="1" customWidth="1"/>
    <col min="21" max="21" width="9.7109375" style="1" customWidth="1"/>
    <col min="22" max="22" width="2.85546875" style="2" bestFit="1" customWidth="1"/>
    <col min="23" max="23" width="11.140625" style="1" bestFit="1" customWidth="1"/>
    <col min="24" max="24" width="10.140625" style="1" bestFit="1" customWidth="1"/>
    <col min="25" max="25" width="8.85546875" style="1"/>
    <col min="26" max="26" width="7.5703125" style="61" bestFit="1" customWidth="1"/>
    <col min="27" max="27" width="5.5703125" style="61" bestFit="1" customWidth="1"/>
    <col min="28" max="28" width="7.5703125" style="61" bestFit="1" customWidth="1"/>
    <col min="29" max="29" width="2.5703125" style="1" customWidth="1"/>
    <col min="30" max="30" width="7.5703125" style="1" bestFit="1" customWidth="1"/>
    <col min="31" max="31" width="2.85546875" style="2" bestFit="1" customWidth="1"/>
    <col min="32" max="33" width="7.5703125" style="36" customWidth="1"/>
    <col min="34" max="34" width="2.5703125" style="1" customWidth="1"/>
    <col min="35" max="35" width="7.5703125" style="1" bestFit="1" customWidth="1"/>
    <col min="36" max="36" width="2.85546875" style="2" bestFit="1" customWidth="1"/>
    <col min="37" max="38" width="7.5703125" style="36" customWidth="1"/>
    <col min="39" max="16384" width="8.85546875" style="1"/>
  </cols>
  <sheetData>
    <row r="1" spans="1:38" hidden="1" x14ac:dyDescent="0.25">
      <c r="A1" s="17">
        <v>2</v>
      </c>
      <c r="B1" s="18">
        <f ca="1">TODAY()</f>
        <v>45201</v>
      </c>
    </row>
    <row r="2" spans="1:38" ht="12" customHeight="1" x14ac:dyDescent="0.25">
      <c r="B2" s="18"/>
    </row>
    <row r="3" spans="1:38" ht="21.75" customHeight="1" x14ac:dyDescent="0.25">
      <c r="C3" s="126" t="str">
        <f ca="1">"All Stores - "&amp;TEXT($B$1, "MMMM YYYY")</f>
        <v>All Stores - October 2023</v>
      </c>
      <c r="D3" s="127"/>
      <c r="E3" s="127"/>
      <c r="F3" s="127"/>
      <c r="G3" s="127"/>
      <c r="H3" s="127"/>
      <c r="I3" s="127"/>
      <c r="J3" s="128"/>
      <c r="L3" s="129" t="str">
        <f ca="1">"All Stores - "&amp;TEXT($L$7, "MMMM YYYY")</f>
        <v>All Stores - October 2022</v>
      </c>
      <c r="M3" s="130"/>
      <c r="N3" s="130"/>
      <c r="O3" s="130"/>
      <c r="P3" s="130"/>
      <c r="Q3" s="130"/>
      <c r="R3" s="130"/>
      <c r="S3" s="131"/>
      <c r="U3" s="132" t="str">
        <f ca="1">"All Stores - "&amp;TEXT($U$6, "MMMM YYYY")</f>
        <v>All Stores - October 2021</v>
      </c>
      <c r="V3" s="133"/>
      <c r="W3" s="133"/>
      <c r="X3" s="133"/>
      <c r="Y3" s="133"/>
      <c r="Z3" s="133"/>
      <c r="AA3" s="133"/>
      <c r="AB3" s="134"/>
      <c r="AD3" s="100" t="s">
        <v>2</v>
      </c>
      <c r="AE3" s="101"/>
      <c r="AF3" s="101"/>
      <c r="AG3" s="102"/>
      <c r="AH3" s="19"/>
      <c r="AI3" s="92" t="s">
        <v>2</v>
      </c>
      <c r="AJ3" s="93"/>
      <c r="AK3" s="93"/>
      <c r="AL3" s="94"/>
    </row>
    <row r="4" spans="1:38" ht="15" customHeight="1" thickBot="1" x14ac:dyDescent="0.3">
      <c r="C4" s="103" t="s">
        <v>14</v>
      </c>
      <c r="D4" s="104"/>
      <c r="E4" s="105"/>
      <c r="F4" s="15" t="s">
        <v>3</v>
      </c>
      <c r="G4" s="15" t="s">
        <v>1</v>
      </c>
      <c r="H4" s="75" t="s">
        <v>6</v>
      </c>
      <c r="I4" s="75" t="s">
        <v>8</v>
      </c>
      <c r="J4" s="75" t="s">
        <v>9</v>
      </c>
      <c r="L4" s="109" t="s">
        <v>14</v>
      </c>
      <c r="M4" s="110"/>
      <c r="N4" s="111"/>
      <c r="O4" s="11" t="s">
        <v>3</v>
      </c>
      <c r="P4" s="11" t="s">
        <v>1</v>
      </c>
      <c r="Q4" s="69" t="s">
        <v>6</v>
      </c>
      <c r="R4" s="69" t="s">
        <v>8</v>
      </c>
      <c r="S4" s="69" t="s">
        <v>9</v>
      </c>
      <c r="U4" s="115" t="s">
        <v>14</v>
      </c>
      <c r="V4" s="116"/>
      <c r="W4" s="117"/>
      <c r="X4" s="13" t="s">
        <v>3</v>
      </c>
      <c r="Y4" s="13" t="s">
        <v>1</v>
      </c>
      <c r="Z4" s="62" t="s">
        <v>6</v>
      </c>
      <c r="AA4" s="62" t="s">
        <v>8</v>
      </c>
      <c r="AB4" s="62" t="s">
        <v>9</v>
      </c>
      <c r="AD4" s="123" t="s">
        <v>12</v>
      </c>
      <c r="AE4" s="124"/>
      <c r="AF4" s="124"/>
      <c r="AG4" s="125"/>
      <c r="AH4" s="19"/>
      <c r="AI4" s="95" t="s">
        <v>13</v>
      </c>
      <c r="AJ4" s="96"/>
      <c r="AK4" s="96"/>
      <c r="AL4" s="97"/>
    </row>
    <row r="5" spans="1:38" ht="15" customHeight="1" x14ac:dyDescent="0.25">
      <c r="C5" s="106"/>
      <c r="D5" s="107"/>
      <c r="E5" s="108"/>
      <c r="F5" s="16" t="s">
        <v>4</v>
      </c>
      <c r="G5" s="16" t="s">
        <v>5</v>
      </c>
      <c r="H5" s="76" t="s">
        <v>7</v>
      </c>
      <c r="I5" s="76" t="s">
        <v>7</v>
      </c>
      <c r="J5" s="76" t="s">
        <v>10</v>
      </c>
      <c r="L5" s="112"/>
      <c r="M5" s="113"/>
      <c r="N5" s="114"/>
      <c r="O5" s="12" t="s">
        <v>4</v>
      </c>
      <c r="P5" s="12" t="s">
        <v>5</v>
      </c>
      <c r="Q5" s="70" t="s">
        <v>7</v>
      </c>
      <c r="R5" s="70" t="s">
        <v>7</v>
      </c>
      <c r="S5" s="70" t="s">
        <v>10</v>
      </c>
      <c r="U5" s="118"/>
      <c r="V5" s="119"/>
      <c r="W5" s="120"/>
      <c r="X5" s="14" t="s">
        <v>4</v>
      </c>
      <c r="Y5" s="14" t="s">
        <v>5</v>
      </c>
      <c r="Z5" s="63" t="s">
        <v>7</v>
      </c>
      <c r="AA5" s="63" t="s">
        <v>7</v>
      </c>
      <c r="AB5" s="63" t="s">
        <v>10</v>
      </c>
      <c r="AD5" s="121" t="s">
        <v>11</v>
      </c>
      <c r="AE5" s="122"/>
      <c r="AF5" s="122" t="s">
        <v>11</v>
      </c>
      <c r="AG5" s="43" t="s">
        <v>3</v>
      </c>
      <c r="AI5" s="98" t="s">
        <v>11</v>
      </c>
      <c r="AJ5" s="99"/>
      <c r="AK5" s="99"/>
      <c r="AL5" s="42" t="s">
        <v>3</v>
      </c>
    </row>
    <row r="6" spans="1:38" ht="15.6" customHeight="1" x14ac:dyDescent="0.25">
      <c r="A6" s="3" t="str">
        <f t="shared" ref="A6" ca="1" si="0">TEXT($U6, "ddd")</f>
        <v>Fri</v>
      </c>
      <c r="C6" s="24"/>
      <c r="D6" s="25"/>
      <c r="E6" s="26"/>
      <c r="F6" s="26"/>
      <c r="G6" s="27"/>
      <c r="H6" s="80"/>
      <c r="I6" s="80"/>
      <c r="J6" s="77"/>
      <c r="L6" s="32"/>
      <c r="M6" s="33"/>
      <c r="N6" s="34"/>
      <c r="O6" s="34"/>
      <c r="P6" s="35"/>
      <c r="Q6" s="73"/>
      <c r="R6" s="73"/>
      <c r="S6" s="71"/>
      <c r="T6" s="4"/>
      <c r="U6" s="5">
        <f ca="1">U7-1</f>
        <v>44470</v>
      </c>
      <c r="V6" s="6" t="str">
        <f t="shared" ref="V6:V38" ca="1" si="1">IF(LEFT($A6, 2)="Fr", "F", IF(LEFT($A6, 2)="Sa", "S", IF(LEFT($A6, 2)="We", "W", IF(LEFT($A6, 2)="Mo", "M", LEFT($A6, 2)))))</f>
        <v>F</v>
      </c>
      <c r="W6" s="7">
        <v>8955</v>
      </c>
      <c r="X6" s="7">
        <f>Z6*15</f>
        <v>3465</v>
      </c>
      <c r="Y6" s="8">
        <f>X6/W6</f>
        <v>0.38693467336683418</v>
      </c>
      <c r="Z6" s="64">
        <v>231</v>
      </c>
      <c r="AA6" s="64"/>
      <c r="AB6" s="64">
        <f>Z6+AA6</f>
        <v>231</v>
      </c>
      <c r="AD6" s="44"/>
      <c r="AE6" s="27"/>
      <c r="AF6" s="27"/>
      <c r="AG6" s="37"/>
      <c r="AI6" s="24"/>
      <c r="AJ6" s="25"/>
      <c r="AK6" s="27"/>
      <c r="AL6" s="37"/>
    </row>
    <row r="7" spans="1:38" ht="15.6" customHeight="1" x14ac:dyDescent="0.25">
      <c r="A7" s="3" t="str">
        <f ca="1">TEXT($U7, "ddd")</f>
        <v>Sat</v>
      </c>
      <c r="C7" s="28"/>
      <c r="D7" s="29"/>
      <c r="E7" s="30"/>
      <c r="F7" s="30"/>
      <c r="G7" s="31"/>
      <c r="H7" s="81"/>
      <c r="I7" s="81"/>
      <c r="J7" s="78"/>
      <c r="L7" s="5">
        <f ca="1">($B$1-DAY($B$1))+1-365</f>
        <v>44835</v>
      </c>
      <c r="M7" s="6" t="str">
        <f t="shared" ref="M7:M38" ca="1" si="2">IF(LEFT($A7, 2)="Fr", "F", IF(LEFT($A7, 2)="Sa", "S", IF(LEFT($A7, 2)="We", "W", IF(LEFT($A7, 2)="Mo", "M", LEFT($A7, 2)))))</f>
        <v>S</v>
      </c>
      <c r="N7" s="7">
        <v>8956</v>
      </c>
      <c r="O7" s="7">
        <f>Q7*15</f>
        <v>3390</v>
      </c>
      <c r="P7" s="8">
        <f>O7/N7</f>
        <v>0.37851719517641802</v>
      </c>
      <c r="Q7" s="64">
        <v>226</v>
      </c>
      <c r="R7" s="64"/>
      <c r="S7" s="64">
        <f>Q7+R7</f>
        <v>226</v>
      </c>
      <c r="T7" s="4"/>
      <c r="U7" s="5">
        <f ca="1">U8-1</f>
        <v>44471</v>
      </c>
      <c r="V7" s="6" t="str">
        <f t="shared" ca="1" si="1"/>
        <v>S</v>
      </c>
      <c r="W7" s="7">
        <v>8956</v>
      </c>
      <c r="X7" s="7">
        <f>Z7*15</f>
        <v>3255</v>
      </c>
      <c r="Y7" s="8">
        <f>X7/W7</f>
        <v>0.36344350156319788</v>
      </c>
      <c r="Z7" s="64">
        <v>217</v>
      </c>
      <c r="AA7" s="64"/>
      <c r="AB7" s="64">
        <f>Z7+AA7</f>
        <v>217</v>
      </c>
      <c r="AD7" s="45"/>
      <c r="AE7" s="38"/>
      <c r="AF7" s="38"/>
      <c r="AG7" s="39"/>
      <c r="AI7" s="28"/>
      <c r="AJ7" s="29"/>
      <c r="AK7" s="38"/>
      <c r="AL7" s="39"/>
    </row>
    <row r="8" spans="1:38" ht="15.6" customHeight="1" x14ac:dyDescent="0.25">
      <c r="A8" s="3" t="str">
        <f ca="1">TEXT($C8, "ddd")</f>
        <v>Sun</v>
      </c>
      <c r="C8" s="5">
        <f ca="1">($B$1-(DAY($B$1))+1)</f>
        <v>45200</v>
      </c>
      <c r="D8" s="6" t="str">
        <f t="shared" ref="D8:D38" ca="1" si="3">IF(LEFT($A8, 2)="Fr", "F", IF(LEFT($A8, 2)="Sa", "S", IF(LEFT($A8, 2)="We", "W", IF(LEFT($A8, 2)="Mo", "M", LEFT($A8, 2)))))</f>
        <v>Su</v>
      </c>
      <c r="E8" s="7">
        <v>30259</v>
      </c>
      <c r="F8" s="7">
        <f>H8*15</f>
        <v>7845</v>
      </c>
      <c r="G8" s="8">
        <f>F8/E8</f>
        <v>0.25926170726064973</v>
      </c>
      <c r="H8" s="64">
        <v>523</v>
      </c>
      <c r="I8" s="64"/>
      <c r="J8" s="64">
        <f>H8+I8</f>
        <v>523</v>
      </c>
      <c r="L8" s="5">
        <f ca="1">$L7+1</f>
        <v>44836</v>
      </c>
      <c r="M8" s="6" t="str">
        <f t="shared" ca="1" si="2"/>
        <v>Su</v>
      </c>
      <c r="N8" s="7">
        <f>E8-1596</f>
        <v>28663</v>
      </c>
      <c r="O8" s="7">
        <f>Q8*15</f>
        <v>8070</v>
      </c>
      <c r="P8" s="8">
        <f>O8/N8</f>
        <v>0.28154763981439485</v>
      </c>
      <c r="Q8" s="64">
        <f>523+15</f>
        <v>538</v>
      </c>
      <c r="R8" s="64"/>
      <c r="S8" s="64">
        <f>Q8+R8</f>
        <v>538</v>
      </c>
      <c r="T8" s="4"/>
      <c r="U8" s="5">
        <f ca="1">C8-728</f>
        <v>44472</v>
      </c>
      <c r="V8" s="6" t="str">
        <f t="shared" ca="1" si="1"/>
        <v>Su</v>
      </c>
      <c r="W8" s="7">
        <f>N8-1596</f>
        <v>27067</v>
      </c>
      <c r="X8" s="7">
        <f>Z8*15</f>
        <v>8160</v>
      </c>
      <c r="Y8" s="8">
        <f>X8/W8</f>
        <v>0.30147411977685001</v>
      </c>
      <c r="Z8" s="67">
        <v>544</v>
      </c>
      <c r="AA8" s="64"/>
      <c r="AB8" s="64">
        <f>Z8+AA8</f>
        <v>544</v>
      </c>
      <c r="AD8" s="5">
        <f ca="1">$L8</f>
        <v>44836</v>
      </c>
      <c r="AE8" s="6" t="str">
        <f ca="1">D8</f>
        <v>Su</v>
      </c>
      <c r="AF8" s="40">
        <f>($E8-N8)/N8</f>
        <v>5.5681540662177717E-2</v>
      </c>
      <c r="AG8" s="40">
        <f>($F8-O8)/O8</f>
        <v>-2.7881040892193308E-2</v>
      </c>
      <c r="AI8" s="5">
        <f ca="1">$U8</f>
        <v>44472</v>
      </c>
      <c r="AJ8" s="6" t="str">
        <f ca="1">V8</f>
        <v>Su</v>
      </c>
      <c r="AK8" s="40">
        <f>($E8-W8)/W8</f>
        <v>0.1179295821480031</v>
      </c>
      <c r="AL8" s="40">
        <f>($F8-X8)/X8</f>
        <v>-3.860294117647059E-2</v>
      </c>
    </row>
    <row r="9" spans="1:38" ht="15.6" customHeight="1" x14ac:dyDescent="0.25">
      <c r="A9" s="3" t="str">
        <f t="shared" ref="A9:A38" ca="1" si="4">TEXT($C9, "ddd")</f>
        <v>Mon</v>
      </c>
      <c r="C9" s="5">
        <f ca="1">C8+1</f>
        <v>45201</v>
      </c>
      <c r="D9" s="6" t="str">
        <f t="shared" ca="1" si="3"/>
        <v>M</v>
      </c>
      <c r="E9" s="7">
        <v>32596</v>
      </c>
      <c r="F9" s="7">
        <f t="shared" ref="F9:F38" si="5">H9*15</f>
        <v>9150</v>
      </c>
      <c r="G9" s="8">
        <f t="shared" ref="G9:G38" si="6">F9/E9</f>
        <v>0.2807092894833722</v>
      </c>
      <c r="H9" s="64">
        <v>610</v>
      </c>
      <c r="I9" s="64">
        <v>25</v>
      </c>
      <c r="J9" s="64">
        <f t="shared" ref="J9:J38" si="7">H9+I9</f>
        <v>635</v>
      </c>
      <c r="L9" s="5">
        <f t="shared" ref="L9:L38" ca="1" si="8">$L8+1</f>
        <v>44837</v>
      </c>
      <c r="M9" s="6" t="str">
        <f t="shared" ca="1" si="2"/>
        <v>M</v>
      </c>
      <c r="N9" s="7">
        <f>E9-894</f>
        <v>31702</v>
      </c>
      <c r="O9" s="7">
        <f t="shared" ref="O9:O38" si="9">Q9*15</f>
        <v>8760</v>
      </c>
      <c r="P9" s="8">
        <f t="shared" ref="P9:P38" si="10">O9/N9</f>
        <v>0.27632326036212224</v>
      </c>
      <c r="Q9" s="64">
        <f>610-26</f>
        <v>584</v>
      </c>
      <c r="R9" s="64">
        <v>15</v>
      </c>
      <c r="S9" s="64">
        <f t="shared" ref="S9:S38" si="11">Q9+R9</f>
        <v>599</v>
      </c>
      <c r="T9" s="4"/>
      <c r="U9" s="5">
        <f t="shared" ref="U9:U38" ca="1" si="12">$U8+1</f>
        <v>44473</v>
      </c>
      <c r="V9" s="6" t="str">
        <f t="shared" ca="1" si="1"/>
        <v>M</v>
      </c>
      <c r="W9" s="7">
        <f>N9-894</f>
        <v>30808</v>
      </c>
      <c r="X9" s="7">
        <f t="shared" ref="X9:X38" si="13">Z9*15</f>
        <v>8625</v>
      </c>
      <c r="Y9" s="8">
        <f t="shared" ref="Y9:Y38" si="14">X9/W9</f>
        <v>0.27995975071410023</v>
      </c>
      <c r="Z9" s="67">
        <v>575</v>
      </c>
      <c r="AA9" s="64">
        <v>30</v>
      </c>
      <c r="AB9" s="64">
        <f t="shared" ref="AB9:AB38" si="15">Z9+AA9</f>
        <v>605</v>
      </c>
      <c r="AD9" s="5">
        <f t="shared" ref="AD9:AD39" ca="1" si="16">$L9</f>
        <v>44837</v>
      </c>
      <c r="AE9" s="6" t="str">
        <f t="shared" ref="AE9:AE38" ca="1" si="17">D9</f>
        <v>M</v>
      </c>
      <c r="AF9" s="40">
        <f t="shared" ref="AF9:AG38" si="18">(E9-N9)/N9</f>
        <v>2.8200113557504257E-2</v>
      </c>
      <c r="AG9" s="40">
        <f t="shared" si="18"/>
        <v>4.4520547945205477E-2</v>
      </c>
      <c r="AI9" s="5">
        <f t="shared" ref="AI9:AI39" ca="1" si="19">$U9</f>
        <v>44473</v>
      </c>
      <c r="AJ9" s="6" t="str">
        <f t="shared" ref="AJ9:AJ38" ca="1" si="20">V9</f>
        <v>M</v>
      </c>
      <c r="AK9" s="40">
        <f t="shared" ref="AK9:AK38" si="21">($E9-W9)/W9</f>
        <v>5.8036873539340429E-2</v>
      </c>
      <c r="AL9" s="40">
        <f t="shared" ref="AL9:AL38" si="22">($F9-X9)/X9</f>
        <v>6.0869565217391307E-2</v>
      </c>
    </row>
    <row r="10" spans="1:38" ht="15.6" customHeight="1" x14ac:dyDescent="0.25">
      <c r="A10" s="3" t="str">
        <f t="shared" ca="1" si="4"/>
        <v>Tue</v>
      </c>
      <c r="C10" s="5">
        <f t="shared" ref="C10:C38" ca="1" si="23">C9+1</f>
        <v>45202</v>
      </c>
      <c r="D10" s="6" t="str">
        <f t="shared" ca="1" si="3"/>
        <v>Tu</v>
      </c>
      <c r="E10" s="7">
        <v>12563</v>
      </c>
      <c r="F10" s="7">
        <f t="shared" si="5"/>
        <v>2250</v>
      </c>
      <c r="G10" s="8">
        <f t="shared" si="6"/>
        <v>0.1790973493592295</v>
      </c>
      <c r="H10" s="64">
        <v>150</v>
      </c>
      <c r="I10" s="64"/>
      <c r="J10" s="64">
        <f t="shared" si="7"/>
        <v>150</v>
      </c>
      <c r="L10" s="5">
        <f t="shared" ca="1" si="8"/>
        <v>44838</v>
      </c>
      <c r="M10" s="6" t="str">
        <f t="shared" ca="1" si="2"/>
        <v>Tu</v>
      </c>
      <c r="N10" s="7">
        <f>E10+3495</f>
        <v>16058</v>
      </c>
      <c r="O10" s="7">
        <f t="shared" si="9"/>
        <v>2385</v>
      </c>
      <c r="P10" s="8">
        <f t="shared" si="10"/>
        <v>0.14852410013700337</v>
      </c>
      <c r="Q10" s="64">
        <f>150+9</f>
        <v>159</v>
      </c>
      <c r="R10" s="64"/>
      <c r="S10" s="64">
        <f t="shared" si="11"/>
        <v>159</v>
      </c>
      <c r="T10" s="4"/>
      <c r="U10" s="5">
        <f t="shared" ca="1" si="12"/>
        <v>44474</v>
      </c>
      <c r="V10" s="6" t="str">
        <f t="shared" ca="1" si="1"/>
        <v>Tu</v>
      </c>
      <c r="W10" s="7">
        <f>N10+3495</f>
        <v>19553</v>
      </c>
      <c r="X10" s="7">
        <f t="shared" si="13"/>
        <v>2475</v>
      </c>
      <c r="Y10" s="8">
        <f t="shared" si="14"/>
        <v>0.12657904157929731</v>
      </c>
      <c r="Z10" s="67">
        <v>165</v>
      </c>
      <c r="AA10" s="64"/>
      <c r="AB10" s="64">
        <f t="shared" si="15"/>
        <v>165</v>
      </c>
      <c r="AD10" s="5">
        <f t="shared" ca="1" si="16"/>
        <v>44838</v>
      </c>
      <c r="AE10" s="6" t="str">
        <f t="shared" ca="1" si="17"/>
        <v>Tu</v>
      </c>
      <c r="AF10" s="40">
        <f t="shared" si="18"/>
        <v>-0.21764852410013699</v>
      </c>
      <c r="AG10" s="40">
        <f t="shared" si="18"/>
        <v>-5.6603773584905662E-2</v>
      </c>
      <c r="AI10" s="5">
        <f t="shared" ca="1" si="19"/>
        <v>44474</v>
      </c>
      <c r="AJ10" s="6" t="str">
        <f t="shared" ca="1" si="20"/>
        <v>Tu</v>
      </c>
      <c r="AK10" s="40">
        <f t="shared" si="21"/>
        <v>-0.35748989924819718</v>
      </c>
      <c r="AL10" s="40">
        <f t="shared" si="22"/>
        <v>-9.0909090909090912E-2</v>
      </c>
    </row>
    <row r="11" spans="1:38" ht="15.6" customHeight="1" x14ac:dyDescent="0.25">
      <c r="A11" s="3" t="str">
        <f t="shared" ca="1" si="4"/>
        <v>Wed</v>
      </c>
      <c r="C11" s="5">
        <f t="shared" ca="1" si="23"/>
        <v>45203</v>
      </c>
      <c r="D11" s="6" t="str">
        <f t="shared" ca="1" si="3"/>
        <v>W</v>
      </c>
      <c r="E11" s="7">
        <v>28569</v>
      </c>
      <c r="F11" s="7">
        <f t="shared" si="5"/>
        <v>7590</v>
      </c>
      <c r="G11" s="8">
        <f t="shared" si="6"/>
        <v>0.26567258216948442</v>
      </c>
      <c r="H11" s="64">
        <v>506</v>
      </c>
      <c r="I11" s="64"/>
      <c r="J11" s="64">
        <f t="shared" si="7"/>
        <v>506</v>
      </c>
      <c r="L11" s="5">
        <f t="shared" ca="1" si="8"/>
        <v>44839</v>
      </c>
      <c r="M11" s="6" t="str">
        <f t="shared" ca="1" si="2"/>
        <v>W</v>
      </c>
      <c r="N11" s="7">
        <f>E11+638</f>
        <v>29207</v>
      </c>
      <c r="O11" s="7">
        <f t="shared" si="9"/>
        <v>8025</v>
      </c>
      <c r="P11" s="8">
        <f t="shared" si="10"/>
        <v>0.27476289930496112</v>
      </c>
      <c r="Q11" s="64">
        <f>506+29</f>
        <v>535</v>
      </c>
      <c r="R11" s="64"/>
      <c r="S11" s="64">
        <f t="shared" si="11"/>
        <v>535</v>
      </c>
      <c r="T11" s="4"/>
      <c r="U11" s="5">
        <f t="shared" ca="1" si="12"/>
        <v>44475</v>
      </c>
      <c r="V11" s="6" t="str">
        <f t="shared" ca="1" si="1"/>
        <v>W</v>
      </c>
      <c r="W11" s="7">
        <f>N11+638</f>
        <v>29845</v>
      </c>
      <c r="X11" s="7">
        <f t="shared" si="13"/>
        <v>7890</v>
      </c>
      <c r="Y11" s="8">
        <f t="shared" si="14"/>
        <v>0.26436589043390851</v>
      </c>
      <c r="Z11" s="67">
        <v>526</v>
      </c>
      <c r="AA11" s="64"/>
      <c r="AB11" s="64">
        <f t="shared" si="15"/>
        <v>526</v>
      </c>
      <c r="AD11" s="5">
        <f t="shared" ca="1" si="16"/>
        <v>44839</v>
      </c>
      <c r="AE11" s="6" t="str">
        <f t="shared" ca="1" si="17"/>
        <v>W</v>
      </c>
      <c r="AF11" s="40">
        <f t="shared" si="18"/>
        <v>-2.1844078474338342E-2</v>
      </c>
      <c r="AG11" s="40">
        <f t="shared" si="18"/>
        <v>-5.4205607476635512E-2</v>
      </c>
      <c r="AI11" s="5">
        <f t="shared" ca="1" si="19"/>
        <v>44475</v>
      </c>
      <c r="AJ11" s="6" t="str">
        <f t="shared" ca="1" si="20"/>
        <v>W</v>
      </c>
      <c r="AK11" s="40">
        <f t="shared" si="21"/>
        <v>-4.2754230189311446E-2</v>
      </c>
      <c r="AL11" s="40">
        <f t="shared" si="22"/>
        <v>-3.8022813688212927E-2</v>
      </c>
    </row>
    <row r="12" spans="1:38" ht="15.6" customHeight="1" x14ac:dyDescent="0.25">
      <c r="A12" s="3" t="str">
        <f t="shared" ca="1" si="4"/>
        <v>Thu</v>
      </c>
      <c r="C12" s="5">
        <f t="shared" ca="1" si="23"/>
        <v>45204</v>
      </c>
      <c r="D12" s="6" t="str">
        <f t="shared" ca="1" si="3"/>
        <v>Th</v>
      </c>
      <c r="E12" s="7">
        <v>35629</v>
      </c>
      <c r="F12" s="7">
        <f t="shared" si="5"/>
        <v>7650</v>
      </c>
      <c r="G12" s="8">
        <f t="shared" si="6"/>
        <v>0.21471273400881305</v>
      </c>
      <c r="H12" s="64">
        <v>510</v>
      </c>
      <c r="I12" s="64"/>
      <c r="J12" s="64">
        <f t="shared" si="7"/>
        <v>510</v>
      </c>
      <c r="L12" s="5">
        <f t="shared" ca="1" si="8"/>
        <v>44840</v>
      </c>
      <c r="M12" s="6" t="str">
        <f t="shared" ca="1" si="2"/>
        <v>Th</v>
      </c>
      <c r="N12" s="7">
        <f>E12-1932</f>
        <v>33697</v>
      </c>
      <c r="O12" s="7">
        <f t="shared" si="9"/>
        <v>7965</v>
      </c>
      <c r="P12" s="8">
        <f t="shared" si="10"/>
        <v>0.23637119031367779</v>
      </c>
      <c r="Q12" s="64">
        <f>510+21</f>
        <v>531</v>
      </c>
      <c r="R12" s="64"/>
      <c r="S12" s="64">
        <f t="shared" si="11"/>
        <v>531</v>
      </c>
      <c r="T12" s="4"/>
      <c r="U12" s="5">
        <f t="shared" ca="1" si="12"/>
        <v>44476</v>
      </c>
      <c r="V12" s="6" t="str">
        <f t="shared" ca="1" si="1"/>
        <v>Th</v>
      </c>
      <c r="W12" s="7">
        <f>N12-1932</f>
        <v>31765</v>
      </c>
      <c r="X12" s="7">
        <f t="shared" si="13"/>
        <v>8055</v>
      </c>
      <c r="Y12" s="8">
        <f t="shared" si="14"/>
        <v>0.25358098536124668</v>
      </c>
      <c r="Z12" s="67">
        <v>537</v>
      </c>
      <c r="AA12" s="64"/>
      <c r="AB12" s="64">
        <f t="shared" si="15"/>
        <v>537</v>
      </c>
      <c r="AD12" s="5">
        <f t="shared" ca="1" si="16"/>
        <v>44840</v>
      </c>
      <c r="AE12" s="6" t="str">
        <f t="shared" ca="1" si="17"/>
        <v>Th</v>
      </c>
      <c r="AF12" s="40">
        <f t="shared" si="18"/>
        <v>5.7334480814315816E-2</v>
      </c>
      <c r="AG12" s="40">
        <f t="shared" si="18"/>
        <v>-3.954802259887006E-2</v>
      </c>
      <c r="AI12" s="5">
        <f t="shared" ca="1" si="19"/>
        <v>44476</v>
      </c>
      <c r="AJ12" s="6" t="str">
        <f t="shared" ca="1" si="20"/>
        <v>Th</v>
      </c>
      <c r="AK12" s="40">
        <f t="shared" si="21"/>
        <v>0.12164331811742483</v>
      </c>
      <c r="AL12" s="40">
        <f t="shared" si="22"/>
        <v>-5.027932960893855E-2</v>
      </c>
    </row>
    <row r="13" spans="1:38" ht="15.6" customHeight="1" x14ac:dyDescent="0.25">
      <c r="A13" s="3" t="str">
        <f t="shared" ca="1" si="4"/>
        <v>Fri</v>
      </c>
      <c r="C13" s="5">
        <f t="shared" ca="1" si="23"/>
        <v>45205</v>
      </c>
      <c r="D13" s="6" t="str">
        <f t="shared" ca="1" si="3"/>
        <v>F</v>
      </c>
      <c r="E13" s="7">
        <v>30259</v>
      </c>
      <c r="F13" s="7">
        <f t="shared" si="5"/>
        <v>8250</v>
      </c>
      <c r="G13" s="8">
        <f t="shared" si="6"/>
        <v>0.27264615486301597</v>
      </c>
      <c r="H13" s="64">
        <v>550</v>
      </c>
      <c r="I13" s="64"/>
      <c r="J13" s="64">
        <f t="shared" si="7"/>
        <v>550</v>
      </c>
      <c r="L13" s="5">
        <f t="shared" ca="1" si="8"/>
        <v>44841</v>
      </c>
      <c r="M13" s="6" t="str">
        <f t="shared" ca="1" si="2"/>
        <v>F</v>
      </c>
      <c r="N13" s="7">
        <f>E13-3562</f>
        <v>26697</v>
      </c>
      <c r="O13" s="7">
        <f t="shared" si="9"/>
        <v>8175</v>
      </c>
      <c r="P13" s="8">
        <f t="shared" si="10"/>
        <v>0.30621418136869311</v>
      </c>
      <c r="Q13" s="64">
        <f>550-5</f>
        <v>545</v>
      </c>
      <c r="R13" s="64"/>
      <c r="S13" s="64">
        <f t="shared" si="11"/>
        <v>545</v>
      </c>
      <c r="T13" s="4"/>
      <c r="U13" s="5">
        <f t="shared" ca="1" si="12"/>
        <v>44477</v>
      </c>
      <c r="V13" s="6" t="str">
        <f t="shared" ca="1" si="1"/>
        <v>F</v>
      </c>
      <c r="W13" s="7">
        <f>N13-3562</f>
        <v>23135</v>
      </c>
      <c r="X13" s="7">
        <f t="shared" si="13"/>
        <v>8040</v>
      </c>
      <c r="Y13" s="8">
        <f t="shared" si="14"/>
        <v>0.34752539442403285</v>
      </c>
      <c r="Z13" s="67">
        <v>536</v>
      </c>
      <c r="AA13" s="64"/>
      <c r="AB13" s="64">
        <f t="shared" si="15"/>
        <v>536</v>
      </c>
      <c r="AD13" s="5">
        <f t="shared" ca="1" si="16"/>
        <v>44841</v>
      </c>
      <c r="AE13" s="6" t="str">
        <f t="shared" ca="1" si="17"/>
        <v>F</v>
      </c>
      <c r="AF13" s="40">
        <f t="shared" si="18"/>
        <v>0.13342323107465259</v>
      </c>
      <c r="AG13" s="40">
        <f t="shared" si="18"/>
        <v>9.1743119266055051E-3</v>
      </c>
      <c r="AI13" s="5">
        <f t="shared" ca="1" si="19"/>
        <v>44477</v>
      </c>
      <c r="AJ13" s="6" t="str">
        <f t="shared" ca="1" si="20"/>
        <v>F</v>
      </c>
      <c r="AK13" s="40">
        <f t="shared" si="21"/>
        <v>0.30793170520855845</v>
      </c>
      <c r="AL13" s="40">
        <f t="shared" si="22"/>
        <v>2.6119402985074626E-2</v>
      </c>
    </row>
    <row r="14" spans="1:38" ht="15.6" customHeight="1" x14ac:dyDescent="0.25">
      <c r="A14" s="3" t="str">
        <f t="shared" ca="1" si="4"/>
        <v>Sat</v>
      </c>
      <c r="C14" s="5">
        <f t="shared" ca="1" si="23"/>
        <v>45206</v>
      </c>
      <c r="D14" s="6" t="str">
        <f t="shared" ca="1" si="3"/>
        <v>S</v>
      </c>
      <c r="E14" s="7">
        <v>37524</v>
      </c>
      <c r="F14" s="7">
        <f t="shared" si="5"/>
        <v>8325</v>
      </c>
      <c r="G14" s="8">
        <f t="shared" si="6"/>
        <v>0.22185801087304124</v>
      </c>
      <c r="H14" s="64">
        <v>555</v>
      </c>
      <c r="I14" s="64"/>
      <c r="J14" s="64">
        <f t="shared" si="7"/>
        <v>555</v>
      </c>
      <c r="L14" s="5">
        <f t="shared" ca="1" si="8"/>
        <v>44842</v>
      </c>
      <c r="M14" s="6" t="str">
        <f t="shared" ca="1" si="2"/>
        <v>S</v>
      </c>
      <c r="N14" s="7">
        <f>E14+2514</f>
        <v>40038</v>
      </c>
      <c r="O14" s="7">
        <f t="shared" si="9"/>
        <v>8505</v>
      </c>
      <c r="P14" s="8">
        <f t="shared" si="10"/>
        <v>0.21242319796193615</v>
      </c>
      <c r="Q14" s="64">
        <f>555+12</f>
        <v>567</v>
      </c>
      <c r="R14" s="64"/>
      <c r="S14" s="64">
        <f t="shared" si="11"/>
        <v>567</v>
      </c>
      <c r="T14" s="4"/>
      <c r="U14" s="5">
        <f t="shared" ca="1" si="12"/>
        <v>44478</v>
      </c>
      <c r="V14" s="6" t="str">
        <f t="shared" ca="1" si="1"/>
        <v>S</v>
      </c>
      <c r="W14" s="7">
        <f>N14+2514</f>
        <v>42552</v>
      </c>
      <c r="X14" s="7">
        <f t="shared" si="13"/>
        <v>8595</v>
      </c>
      <c r="Y14" s="8">
        <f t="shared" si="14"/>
        <v>0.2019881556683587</v>
      </c>
      <c r="Z14" s="67">
        <v>573</v>
      </c>
      <c r="AA14" s="64"/>
      <c r="AB14" s="64">
        <f t="shared" si="15"/>
        <v>573</v>
      </c>
      <c r="AD14" s="5">
        <f t="shared" ca="1" si="16"/>
        <v>44842</v>
      </c>
      <c r="AE14" s="6" t="str">
        <f t="shared" ca="1" si="17"/>
        <v>S</v>
      </c>
      <c r="AF14" s="40">
        <f t="shared" si="18"/>
        <v>-6.2790349168290127E-2</v>
      </c>
      <c r="AG14" s="40">
        <f t="shared" si="18"/>
        <v>-2.1164021164021163E-2</v>
      </c>
      <c r="AI14" s="5">
        <f t="shared" ca="1" si="19"/>
        <v>44478</v>
      </c>
      <c r="AJ14" s="6" t="str">
        <f t="shared" ca="1" si="20"/>
        <v>S</v>
      </c>
      <c r="AK14" s="40">
        <f t="shared" si="21"/>
        <v>-0.11816130851663846</v>
      </c>
      <c r="AL14" s="40">
        <f t="shared" si="22"/>
        <v>-3.1413612565445025E-2</v>
      </c>
    </row>
    <row r="15" spans="1:38" ht="15.6" customHeight="1" x14ac:dyDescent="0.25">
      <c r="A15" s="3" t="str">
        <f t="shared" ca="1" si="4"/>
        <v>Sun</v>
      </c>
      <c r="C15" s="5">
        <f t="shared" ca="1" si="23"/>
        <v>45207</v>
      </c>
      <c r="D15" s="6" t="str">
        <f t="shared" ca="1" si="3"/>
        <v>Su</v>
      </c>
      <c r="E15" s="7">
        <v>49362</v>
      </c>
      <c r="F15" s="7">
        <f t="shared" si="5"/>
        <v>8625</v>
      </c>
      <c r="G15" s="8">
        <f t="shared" si="6"/>
        <v>0.17472954904582472</v>
      </c>
      <c r="H15" s="64">
        <v>575</v>
      </c>
      <c r="I15" s="64"/>
      <c r="J15" s="64">
        <f t="shared" si="7"/>
        <v>575</v>
      </c>
      <c r="L15" s="5">
        <f t="shared" ca="1" si="8"/>
        <v>44843</v>
      </c>
      <c r="M15" s="6" t="str">
        <f t="shared" ca="1" si="2"/>
        <v>Su</v>
      </c>
      <c r="N15" s="7">
        <f>E15-1596</f>
        <v>47766</v>
      </c>
      <c r="O15" s="7">
        <f t="shared" si="9"/>
        <v>8430</v>
      </c>
      <c r="P15" s="8">
        <f t="shared" si="10"/>
        <v>0.17648536616003016</v>
      </c>
      <c r="Q15" s="64">
        <f>575-13</f>
        <v>562</v>
      </c>
      <c r="R15" s="64"/>
      <c r="S15" s="64">
        <f t="shared" si="11"/>
        <v>562</v>
      </c>
      <c r="T15" s="4"/>
      <c r="U15" s="5">
        <f t="shared" ca="1" si="12"/>
        <v>44479</v>
      </c>
      <c r="V15" s="6" t="str">
        <f t="shared" ca="1" si="1"/>
        <v>Su</v>
      </c>
      <c r="W15" s="7">
        <f>N15-1596</f>
        <v>46170</v>
      </c>
      <c r="X15" s="7">
        <f t="shared" si="13"/>
        <v>8295</v>
      </c>
      <c r="Y15" s="8">
        <f t="shared" si="14"/>
        <v>0.17966211825860948</v>
      </c>
      <c r="Z15" s="67">
        <v>553</v>
      </c>
      <c r="AA15" s="64"/>
      <c r="AB15" s="64">
        <f t="shared" si="15"/>
        <v>553</v>
      </c>
      <c r="AD15" s="5">
        <f t="shared" ca="1" si="16"/>
        <v>44843</v>
      </c>
      <c r="AE15" s="6" t="str">
        <f t="shared" ca="1" si="17"/>
        <v>Su</v>
      </c>
      <c r="AF15" s="40">
        <f t="shared" si="18"/>
        <v>3.3412887828162291E-2</v>
      </c>
      <c r="AG15" s="40">
        <f t="shared" si="18"/>
        <v>2.3131672597864767E-2</v>
      </c>
      <c r="AI15" s="5">
        <f t="shared" ca="1" si="19"/>
        <v>44479</v>
      </c>
      <c r="AJ15" s="6" t="str">
        <f t="shared" ca="1" si="20"/>
        <v>Su</v>
      </c>
      <c r="AK15" s="40">
        <f t="shared" si="21"/>
        <v>6.9135802469135796E-2</v>
      </c>
      <c r="AL15" s="40">
        <f t="shared" si="22"/>
        <v>3.9783001808318265E-2</v>
      </c>
    </row>
    <row r="16" spans="1:38" ht="15.6" customHeight="1" x14ac:dyDescent="0.25">
      <c r="A16" s="3" t="str">
        <f t="shared" ca="1" si="4"/>
        <v>Mon</v>
      </c>
      <c r="C16" s="5">
        <f t="shared" ca="1" si="23"/>
        <v>45208</v>
      </c>
      <c r="D16" s="6" t="str">
        <f t="shared" ca="1" si="3"/>
        <v>M</v>
      </c>
      <c r="E16" s="7">
        <v>55634</v>
      </c>
      <c r="F16" s="7">
        <f t="shared" si="5"/>
        <v>9030</v>
      </c>
      <c r="G16" s="8">
        <f t="shared" si="6"/>
        <v>0.16231081712621778</v>
      </c>
      <c r="H16" s="64">
        <v>602</v>
      </c>
      <c r="I16" s="64">
        <v>20</v>
      </c>
      <c r="J16" s="64">
        <f t="shared" si="7"/>
        <v>622</v>
      </c>
      <c r="L16" s="5">
        <f t="shared" ca="1" si="8"/>
        <v>44844</v>
      </c>
      <c r="M16" s="6" t="str">
        <f t="shared" ca="1" si="2"/>
        <v>M</v>
      </c>
      <c r="N16" s="7">
        <f>E16-894</f>
        <v>54740</v>
      </c>
      <c r="O16" s="7">
        <f t="shared" si="9"/>
        <v>3390</v>
      </c>
      <c r="P16" s="8">
        <f t="shared" si="10"/>
        <v>6.1929119473876505E-2</v>
      </c>
      <c r="Q16" s="64">
        <v>226</v>
      </c>
      <c r="R16" s="64">
        <v>12</v>
      </c>
      <c r="S16" s="64">
        <f t="shared" si="11"/>
        <v>238</v>
      </c>
      <c r="T16" s="4"/>
      <c r="U16" s="5">
        <f t="shared" ca="1" si="12"/>
        <v>44480</v>
      </c>
      <c r="V16" s="6" t="str">
        <f t="shared" ca="1" si="1"/>
        <v>M</v>
      </c>
      <c r="W16" s="7">
        <f>N16-894</f>
        <v>53846</v>
      </c>
      <c r="X16" s="7">
        <f t="shared" si="13"/>
        <v>3480</v>
      </c>
      <c r="Y16" s="8">
        <f t="shared" si="14"/>
        <v>6.4628756082160232E-2</v>
      </c>
      <c r="Z16" s="67">
        <v>232</v>
      </c>
      <c r="AA16" s="64">
        <v>11</v>
      </c>
      <c r="AB16" s="64">
        <f t="shared" si="15"/>
        <v>243</v>
      </c>
      <c r="AD16" s="5">
        <f t="shared" ca="1" si="16"/>
        <v>44844</v>
      </c>
      <c r="AE16" s="6" t="str">
        <f t="shared" ca="1" si="17"/>
        <v>M</v>
      </c>
      <c r="AF16" s="40">
        <f t="shared" si="18"/>
        <v>1.6331750091340885E-2</v>
      </c>
      <c r="AG16" s="40">
        <f t="shared" si="18"/>
        <v>1.663716814159292</v>
      </c>
      <c r="AI16" s="5">
        <f t="shared" ca="1" si="19"/>
        <v>44480</v>
      </c>
      <c r="AJ16" s="6" t="str">
        <f t="shared" ca="1" si="20"/>
        <v>M</v>
      </c>
      <c r="AK16" s="40">
        <f t="shared" si="21"/>
        <v>3.3205809159454744E-2</v>
      </c>
      <c r="AL16" s="40">
        <f t="shared" si="22"/>
        <v>1.5948275862068966</v>
      </c>
    </row>
    <row r="17" spans="1:38" ht="15.6" customHeight="1" x14ac:dyDescent="0.25">
      <c r="A17" s="3" t="str">
        <f t="shared" ca="1" si="4"/>
        <v>Tue</v>
      </c>
      <c r="C17" s="5">
        <f t="shared" ca="1" si="23"/>
        <v>45209</v>
      </c>
      <c r="D17" s="6" t="str">
        <f t="shared" ca="1" si="3"/>
        <v>Tu</v>
      </c>
      <c r="E17" s="7">
        <v>15854</v>
      </c>
      <c r="F17" s="7">
        <f t="shared" si="5"/>
        <v>2175</v>
      </c>
      <c r="G17" s="8">
        <f t="shared" si="6"/>
        <v>0.13718935284470796</v>
      </c>
      <c r="H17" s="64">
        <v>145</v>
      </c>
      <c r="I17" s="64"/>
      <c r="J17" s="64">
        <f t="shared" si="7"/>
        <v>145</v>
      </c>
      <c r="L17" s="5">
        <f t="shared" ca="1" si="8"/>
        <v>44845</v>
      </c>
      <c r="M17" s="6" t="str">
        <f t="shared" ca="1" si="2"/>
        <v>Tu</v>
      </c>
      <c r="N17" s="7">
        <f>E17+3495</f>
        <v>19349</v>
      </c>
      <c r="O17" s="7">
        <f t="shared" si="9"/>
        <v>8070</v>
      </c>
      <c r="P17" s="8">
        <f t="shared" si="10"/>
        <v>0.41707581787172465</v>
      </c>
      <c r="Q17" s="64">
        <f>523+15</f>
        <v>538</v>
      </c>
      <c r="R17" s="64"/>
      <c r="S17" s="64">
        <f t="shared" si="11"/>
        <v>538</v>
      </c>
      <c r="T17" s="4"/>
      <c r="U17" s="5">
        <f t="shared" ca="1" si="12"/>
        <v>44481</v>
      </c>
      <c r="V17" s="6" t="str">
        <f t="shared" ca="1" si="1"/>
        <v>Tu</v>
      </c>
      <c r="W17" s="7">
        <f>N17+3495</f>
        <v>22844</v>
      </c>
      <c r="X17" s="7">
        <f t="shared" si="13"/>
        <v>7935</v>
      </c>
      <c r="Y17" s="8">
        <f t="shared" si="14"/>
        <v>0.34735597968832077</v>
      </c>
      <c r="Z17" s="67">
        <v>529</v>
      </c>
      <c r="AA17" s="64"/>
      <c r="AB17" s="64">
        <f t="shared" si="15"/>
        <v>529</v>
      </c>
      <c r="AD17" s="5">
        <f t="shared" ca="1" si="16"/>
        <v>44845</v>
      </c>
      <c r="AE17" s="6" t="str">
        <f t="shared" ca="1" si="17"/>
        <v>Tu</v>
      </c>
      <c r="AF17" s="40">
        <f t="shared" si="18"/>
        <v>-0.18062948989611866</v>
      </c>
      <c r="AG17" s="40">
        <f t="shared" si="18"/>
        <v>-0.73048327137546465</v>
      </c>
      <c r="AI17" s="5">
        <f t="shared" ca="1" si="19"/>
        <v>44481</v>
      </c>
      <c r="AJ17" s="6" t="str">
        <f t="shared" ca="1" si="20"/>
        <v>Tu</v>
      </c>
      <c r="AK17" s="40">
        <f t="shared" si="21"/>
        <v>-0.30598844335492908</v>
      </c>
      <c r="AL17" s="40">
        <f t="shared" si="22"/>
        <v>-0.72589792060491498</v>
      </c>
    </row>
    <row r="18" spans="1:38" ht="15.6" customHeight="1" x14ac:dyDescent="0.25">
      <c r="A18" s="3" t="str">
        <f t="shared" ca="1" si="4"/>
        <v>Wed</v>
      </c>
      <c r="C18" s="5">
        <f t="shared" ca="1" si="23"/>
        <v>45210</v>
      </c>
      <c r="D18" s="6" t="str">
        <f t="shared" ca="1" si="3"/>
        <v>W</v>
      </c>
      <c r="E18" s="7">
        <v>26254</v>
      </c>
      <c r="F18" s="7">
        <f t="shared" si="5"/>
        <v>7650</v>
      </c>
      <c r="G18" s="8">
        <f t="shared" si="6"/>
        <v>0.29138417003123335</v>
      </c>
      <c r="H18" s="64">
        <v>510</v>
      </c>
      <c r="I18" s="64"/>
      <c r="J18" s="64">
        <f t="shared" si="7"/>
        <v>510</v>
      </c>
      <c r="L18" s="5">
        <f t="shared" ca="1" si="8"/>
        <v>44846</v>
      </c>
      <c r="M18" s="6" t="str">
        <f t="shared" ca="1" si="2"/>
        <v>W</v>
      </c>
      <c r="N18" s="7">
        <f>E18+638</f>
        <v>26892</v>
      </c>
      <c r="O18" s="7">
        <f t="shared" si="9"/>
        <v>8760</v>
      </c>
      <c r="P18" s="8">
        <f t="shared" si="10"/>
        <v>0.32574743418116914</v>
      </c>
      <c r="Q18" s="64">
        <f>610-26</f>
        <v>584</v>
      </c>
      <c r="R18" s="64"/>
      <c r="S18" s="64">
        <f t="shared" si="11"/>
        <v>584</v>
      </c>
      <c r="T18" s="4"/>
      <c r="U18" s="5">
        <f t="shared" ca="1" si="12"/>
        <v>44482</v>
      </c>
      <c r="V18" s="6" t="str">
        <f t="shared" ca="1" si="1"/>
        <v>W</v>
      </c>
      <c r="W18" s="7">
        <f>N18+638</f>
        <v>27530</v>
      </c>
      <c r="X18" s="7">
        <f t="shared" si="13"/>
        <v>8850</v>
      </c>
      <c r="Y18" s="8">
        <f t="shared" si="14"/>
        <v>0.32146749001089719</v>
      </c>
      <c r="Z18" s="67">
        <v>590</v>
      </c>
      <c r="AA18" s="64"/>
      <c r="AB18" s="64">
        <f t="shared" si="15"/>
        <v>590</v>
      </c>
      <c r="AD18" s="5">
        <f t="shared" ca="1" si="16"/>
        <v>44846</v>
      </c>
      <c r="AE18" s="6" t="str">
        <f t="shared" ca="1" si="17"/>
        <v>W</v>
      </c>
      <c r="AF18" s="40">
        <f t="shared" si="18"/>
        <v>-2.3724527740591996E-2</v>
      </c>
      <c r="AG18" s="40">
        <f t="shared" si="18"/>
        <v>-0.12671232876712329</v>
      </c>
      <c r="AI18" s="5">
        <f t="shared" ca="1" si="19"/>
        <v>44482</v>
      </c>
      <c r="AJ18" s="6" t="str">
        <f t="shared" ca="1" si="20"/>
        <v>W</v>
      </c>
      <c r="AK18" s="40">
        <f t="shared" si="21"/>
        <v>-4.6349436977842356E-2</v>
      </c>
      <c r="AL18" s="40">
        <f t="shared" si="22"/>
        <v>-0.13559322033898305</v>
      </c>
    </row>
    <row r="19" spans="1:38" ht="15.6" customHeight="1" x14ac:dyDescent="0.25">
      <c r="A19" s="3" t="str">
        <f t="shared" ca="1" si="4"/>
        <v>Thu</v>
      </c>
      <c r="C19" s="5">
        <f t="shared" ca="1" si="23"/>
        <v>45211</v>
      </c>
      <c r="D19" s="6" t="str">
        <f t="shared" ca="1" si="3"/>
        <v>Th</v>
      </c>
      <c r="E19" s="7">
        <v>36589</v>
      </c>
      <c r="F19" s="7">
        <f t="shared" si="5"/>
        <v>7725</v>
      </c>
      <c r="G19" s="8">
        <f t="shared" si="6"/>
        <v>0.21112902784990023</v>
      </c>
      <c r="H19" s="64">
        <v>515</v>
      </c>
      <c r="I19" s="64"/>
      <c r="J19" s="64">
        <f t="shared" si="7"/>
        <v>515</v>
      </c>
      <c r="L19" s="5">
        <f t="shared" ca="1" si="8"/>
        <v>44847</v>
      </c>
      <c r="M19" s="6" t="str">
        <f t="shared" ca="1" si="2"/>
        <v>Th</v>
      </c>
      <c r="N19" s="7">
        <f>E19-1932</f>
        <v>34657</v>
      </c>
      <c r="O19" s="7">
        <f t="shared" si="9"/>
        <v>2385</v>
      </c>
      <c r="P19" s="8">
        <f t="shared" si="10"/>
        <v>6.881726635311769E-2</v>
      </c>
      <c r="Q19" s="64">
        <f>150+9</f>
        <v>159</v>
      </c>
      <c r="R19" s="64"/>
      <c r="S19" s="64">
        <f t="shared" si="11"/>
        <v>159</v>
      </c>
      <c r="T19" s="4"/>
      <c r="U19" s="5">
        <f t="shared" ca="1" si="12"/>
        <v>44483</v>
      </c>
      <c r="V19" s="6" t="str">
        <f t="shared" ca="1" si="1"/>
        <v>Th</v>
      </c>
      <c r="W19" s="7">
        <f>N19-1932</f>
        <v>32725</v>
      </c>
      <c r="X19" s="7">
        <f t="shared" si="13"/>
        <v>2250</v>
      </c>
      <c r="Y19" s="8">
        <f t="shared" si="14"/>
        <v>6.8754774637127578E-2</v>
      </c>
      <c r="Z19" s="67">
        <v>150</v>
      </c>
      <c r="AA19" s="64"/>
      <c r="AB19" s="64">
        <f t="shared" si="15"/>
        <v>150</v>
      </c>
      <c r="AD19" s="5">
        <f t="shared" ca="1" si="16"/>
        <v>44847</v>
      </c>
      <c r="AE19" s="6" t="str">
        <f t="shared" ca="1" si="17"/>
        <v>Th</v>
      </c>
      <c r="AF19" s="40">
        <f t="shared" si="18"/>
        <v>5.5746313875984652E-2</v>
      </c>
      <c r="AG19" s="40">
        <f t="shared" si="18"/>
        <v>2.2389937106918238</v>
      </c>
      <c r="AI19" s="5">
        <f t="shared" ca="1" si="19"/>
        <v>44483</v>
      </c>
      <c r="AJ19" s="6" t="str">
        <f t="shared" ca="1" si="20"/>
        <v>Th</v>
      </c>
      <c r="AK19" s="40">
        <f t="shared" si="21"/>
        <v>0.11807486631016043</v>
      </c>
      <c r="AL19" s="40">
        <f t="shared" si="22"/>
        <v>2.4333333333333331</v>
      </c>
    </row>
    <row r="20" spans="1:38" ht="15.6" customHeight="1" x14ac:dyDescent="0.25">
      <c r="A20" s="3" t="str">
        <f t="shared" ca="1" si="4"/>
        <v>Fri</v>
      </c>
      <c r="C20" s="5">
        <f t="shared" ca="1" si="23"/>
        <v>45212</v>
      </c>
      <c r="D20" s="6" t="str">
        <f t="shared" ca="1" si="3"/>
        <v>F</v>
      </c>
      <c r="E20" s="7">
        <v>31259</v>
      </c>
      <c r="F20" s="7">
        <f t="shared" si="5"/>
        <v>8175</v>
      </c>
      <c r="G20" s="8">
        <f t="shared" si="6"/>
        <v>0.26152468089190312</v>
      </c>
      <c r="H20" s="64">
        <v>545</v>
      </c>
      <c r="I20" s="64"/>
      <c r="J20" s="64">
        <f t="shared" si="7"/>
        <v>545</v>
      </c>
      <c r="L20" s="5">
        <f t="shared" ca="1" si="8"/>
        <v>44848</v>
      </c>
      <c r="M20" s="6" t="str">
        <f t="shared" ca="1" si="2"/>
        <v>F</v>
      </c>
      <c r="N20" s="7">
        <f>E20-3562</f>
        <v>27697</v>
      </c>
      <c r="O20" s="7">
        <f t="shared" si="9"/>
        <v>8025</v>
      </c>
      <c r="P20" s="8">
        <f t="shared" si="10"/>
        <v>0.28974257139762427</v>
      </c>
      <c r="Q20" s="64">
        <f>506+29</f>
        <v>535</v>
      </c>
      <c r="R20" s="64"/>
      <c r="S20" s="64">
        <f t="shared" si="11"/>
        <v>535</v>
      </c>
      <c r="T20" s="4"/>
      <c r="U20" s="5">
        <f t="shared" ca="1" si="12"/>
        <v>44484</v>
      </c>
      <c r="V20" s="6" t="str">
        <f t="shared" ca="1" si="1"/>
        <v>F</v>
      </c>
      <c r="W20" s="7">
        <f>N20-3562</f>
        <v>24135</v>
      </c>
      <c r="X20" s="7">
        <f t="shared" si="13"/>
        <v>8115</v>
      </c>
      <c r="Y20" s="8">
        <f t="shared" si="14"/>
        <v>0.33623368551895588</v>
      </c>
      <c r="Z20" s="67">
        <v>541</v>
      </c>
      <c r="AA20" s="64"/>
      <c r="AB20" s="64">
        <f t="shared" si="15"/>
        <v>541</v>
      </c>
      <c r="AD20" s="5">
        <f t="shared" ca="1" si="16"/>
        <v>44848</v>
      </c>
      <c r="AE20" s="6" t="str">
        <f t="shared" ca="1" si="17"/>
        <v>F</v>
      </c>
      <c r="AF20" s="40">
        <f t="shared" si="18"/>
        <v>0.12860598620789254</v>
      </c>
      <c r="AG20" s="40">
        <f t="shared" si="18"/>
        <v>1.8691588785046728E-2</v>
      </c>
      <c r="AI20" s="5">
        <f t="shared" ca="1" si="19"/>
        <v>44484</v>
      </c>
      <c r="AJ20" s="6" t="str">
        <f t="shared" ca="1" si="20"/>
        <v>F</v>
      </c>
      <c r="AK20" s="40">
        <f t="shared" si="21"/>
        <v>0.29517298529107105</v>
      </c>
      <c r="AL20" s="40">
        <f t="shared" si="22"/>
        <v>7.3937153419593345E-3</v>
      </c>
    </row>
    <row r="21" spans="1:38" ht="15.6" customHeight="1" x14ac:dyDescent="0.25">
      <c r="A21" s="3" t="str">
        <f t="shared" ca="1" si="4"/>
        <v>Sat</v>
      </c>
      <c r="C21" s="5">
        <f t="shared" ca="1" si="23"/>
        <v>45213</v>
      </c>
      <c r="D21" s="6" t="str">
        <f t="shared" ca="1" si="3"/>
        <v>S</v>
      </c>
      <c r="E21" s="7">
        <v>33568</v>
      </c>
      <c r="F21" s="7">
        <f t="shared" si="5"/>
        <v>8400</v>
      </c>
      <c r="G21" s="8">
        <f t="shared" si="6"/>
        <v>0.25023832221163012</v>
      </c>
      <c r="H21" s="64">
        <v>560</v>
      </c>
      <c r="I21" s="64"/>
      <c r="J21" s="64">
        <f t="shared" si="7"/>
        <v>560</v>
      </c>
      <c r="L21" s="5">
        <f t="shared" ca="1" si="8"/>
        <v>44849</v>
      </c>
      <c r="M21" s="6" t="str">
        <f t="shared" ca="1" si="2"/>
        <v>S</v>
      </c>
      <c r="N21" s="7">
        <f>E21+2514</f>
        <v>36082</v>
      </c>
      <c r="O21" s="7">
        <f t="shared" si="9"/>
        <v>7965</v>
      </c>
      <c r="P21" s="8">
        <f t="shared" si="10"/>
        <v>0.22074718696302867</v>
      </c>
      <c r="Q21" s="64">
        <f>510+21</f>
        <v>531</v>
      </c>
      <c r="R21" s="64"/>
      <c r="S21" s="64">
        <f t="shared" si="11"/>
        <v>531</v>
      </c>
      <c r="T21" s="4"/>
      <c r="U21" s="5">
        <f t="shared" ca="1" si="12"/>
        <v>44485</v>
      </c>
      <c r="V21" s="6" t="str">
        <f t="shared" ca="1" si="1"/>
        <v>S</v>
      </c>
      <c r="W21" s="7">
        <f>N21+2514</f>
        <v>38596</v>
      </c>
      <c r="X21" s="7">
        <f t="shared" si="13"/>
        <v>7830</v>
      </c>
      <c r="Y21" s="8">
        <f t="shared" si="14"/>
        <v>0.20287076380972122</v>
      </c>
      <c r="Z21" s="67">
        <v>522</v>
      </c>
      <c r="AA21" s="64"/>
      <c r="AB21" s="64">
        <f t="shared" si="15"/>
        <v>522</v>
      </c>
      <c r="AD21" s="5">
        <f t="shared" ca="1" si="16"/>
        <v>44849</v>
      </c>
      <c r="AE21" s="6" t="str">
        <f t="shared" ca="1" si="17"/>
        <v>S</v>
      </c>
      <c r="AF21" s="40">
        <f t="shared" si="18"/>
        <v>-6.9674630009422978E-2</v>
      </c>
      <c r="AG21" s="40">
        <f t="shared" si="18"/>
        <v>5.4613935969868174E-2</v>
      </c>
      <c r="AI21" s="5">
        <f t="shared" ca="1" si="19"/>
        <v>44485</v>
      </c>
      <c r="AJ21" s="6" t="str">
        <f t="shared" ca="1" si="20"/>
        <v>S</v>
      </c>
      <c r="AK21" s="40">
        <f t="shared" si="21"/>
        <v>-0.13027256710539953</v>
      </c>
      <c r="AL21" s="40">
        <f t="shared" si="22"/>
        <v>7.2796934865900387E-2</v>
      </c>
    </row>
    <row r="22" spans="1:38" ht="15.6" customHeight="1" x14ac:dyDescent="0.25">
      <c r="A22" s="3" t="str">
        <f t="shared" ca="1" si="4"/>
        <v>Sun</v>
      </c>
      <c r="C22" s="5">
        <f t="shared" ca="1" si="23"/>
        <v>45214</v>
      </c>
      <c r="D22" s="6" t="str">
        <f t="shared" ca="1" si="3"/>
        <v>Su</v>
      </c>
      <c r="E22" s="7">
        <v>48265</v>
      </c>
      <c r="F22" s="7">
        <f t="shared" si="5"/>
        <v>8625</v>
      </c>
      <c r="G22" s="8">
        <f t="shared" si="6"/>
        <v>0.17870092199316276</v>
      </c>
      <c r="H22" s="64">
        <v>575</v>
      </c>
      <c r="I22" s="64">
        <v>6</v>
      </c>
      <c r="J22" s="64">
        <f t="shared" si="7"/>
        <v>581</v>
      </c>
      <c r="L22" s="5">
        <f t="shared" ca="1" si="8"/>
        <v>44850</v>
      </c>
      <c r="M22" s="6" t="str">
        <f t="shared" ca="1" si="2"/>
        <v>Su</v>
      </c>
      <c r="N22" s="7">
        <f>E22-1596</f>
        <v>46669</v>
      </c>
      <c r="O22" s="7">
        <f t="shared" si="9"/>
        <v>8175</v>
      </c>
      <c r="P22" s="8">
        <f t="shared" si="10"/>
        <v>0.17516981293792452</v>
      </c>
      <c r="Q22" s="64">
        <f>550-5</f>
        <v>545</v>
      </c>
      <c r="R22" s="64">
        <v>11</v>
      </c>
      <c r="S22" s="64">
        <f t="shared" si="11"/>
        <v>556</v>
      </c>
      <c r="T22" s="4"/>
      <c r="U22" s="5">
        <f t="shared" ca="1" si="12"/>
        <v>44486</v>
      </c>
      <c r="V22" s="6" t="str">
        <f t="shared" ca="1" si="1"/>
        <v>Su</v>
      </c>
      <c r="W22" s="7">
        <f>N22-1596</f>
        <v>45073</v>
      </c>
      <c r="X22" s="7">
        <f t="shared" si="13"/>
        <v>8265</v>
      </c>
      <c r="Y22" s="8">
        <f t="shared" si="14"/>
        <v>0.1833692010738136</v>
      </c>
      <c r="Z22" s="67">
        <v>551</v>
      </c>
      <c r="AA22" s="64">
        <v>16</v>
      </c>
      <c r="AB22" s="64">
        <f t="shared" si="15"/>
        <v>567</v>
      </c>
      <c r="AD22" s="5">
        <f t="shared" ca="1" si="16"/>
        <v>44850</v>
      </c>
      <c r="AE22" s="6" t="str">
        <f t="shared" ca="1" si="17"/>
        <v>Su</v>
      </c>
      <c r="AF22" s="40">
        <f t="shared" si="18"/>
        <v>3.4198290085495728E-2</v>
      </c>
      <c r="AG22" s="40">
        <f t="shared" si="18"/>
        <v>5.5045871559633031E-2</v>
      </c>
      <c r="AI22" s="5">
        <f t="shared" ca="1" si="19"/>
        <v>44486</v>
      </c>
      <c r="AJ22" s="6" t="str">
        <f t="shared" ca="1" si="20"/>
        <v>Su</v>
      </c>
      <c r="AK22" s="40">
        <f t="shared" si="21"/>
        <v>7.0818450069886629E-2</v>
      </c>
      <c r="AL22" s="40">
        <f t="shared" si="22"/>
        <v>4.3557168784029036E-2</v>
      </c>
    </row>
    <row r="23" spans="1:38" ht="15.6" customHeight="1" x14ac:dyDescent="0.25">
      <c r="A23" s="3" t="str">
        <f t="shared" ca="1" si="4"/>
        <v>Mon</v>
      </c>
      <c r="C23" s="5">
        <f t="shared" ca="1" si="23"/>
        <v>45215</v>
      </c>
      <c r="D23" s="6" t="str">
        <f t="shared" ca="1" si="3"/>
        <v>M</v>
      </c>
      <c r="E23" s="7">
        <v>45056</v>
      </c>
      <c r="F23" s="7">
        <f t="shared" si="5"/>
        <v>9030</v>
      </c>
      <c r="G23" s="8">
        <f t="shared" si="6"/>
        <v>0.20041725852272727</v>
      </c>
      <c r="H23" s="64">
        <v>602</v>
      </c>
      <c r="I23" s="64">
        <v>29</v>
      </c>
      <c r="J23" s="64">
        <f t="shared" si="7"/>
        <v>631</v>
      </c>
      <c r="L23" s="5">
        <f t="shared" ca="1" si="8"/>
        <v>44851</v>
      </c>
      <c r="M23" s="6" t="str">
        <f t="shared" ca="1" si="2"/>
        <v>M</v>
      </c>
      <c r="N23" s="7">
        <f>E23-894</f>
        <v>44162</v>
      </c>
      <c r="O23" s="7">
        <f t="shared" si="9"/>
        <v>8505</v>
      </c>
      <c r="P23" s="8">
        <f t="shared" si="10"/>
        <v>0.19258638648611928</v>
      </c>
      <c r="Q23" s="64">
        <f>555+12</f>
        <v>567</v>
      </c>
      <c r="R23" s="64">
        <v>30</v>
      </c>
      <c r="S23" s="64">
        <f t="shared" si="11"/>
        <v>597</v>
      </c>
      <c r="T23" s="4"/>
      <c r="U23" s="5">
        <f t="shared" ca="1" si="12"/>
        <v>44487</v>
      </c>
      <c r="V23" s="6" t="str">
        <f t="shared" ca="1" si="1"/>
        <v>M</v>
      </c>
      <c r="W23" s="7">
        <f>N23-894</f>
        <v>43268</v>
      </c>
      <c r="X23" s="7">
        <f t="shared" si="13"/>
        <v>8370</v>
      </c>
      <c r="Y23" s="8">
        <f t="shared" si="14"/>
        <v>0.19344550244984746</v>
      </c>
      <c r="Z23" s="67">
        <v>558</v>
      </c>
      <c r="AA23" s="64">
        <v>28</v>
      </c>
      <c r="AB23" s="64">
        <f t="shared" si="15"/>
        <v>586</v>
      </c>
      <c r="AD23" s="5">
        <f t="shared" ca="1" si="16"/>
        <v>44851</v>
      </c>
      <c r="AE23" s="6" t="str">
        <f t="shared" ca="1" si="17"/>
        <v>M</v>
      </c>
      <c r="AF23" s="40">
        <f t="shared" si="18"/>
        <v>2.0243648385489789E-2</v>
      </c>
      <c r="AG23" s="40">
        <f t="shared" si="18"/>
        <v>6.1728395061728392E-2</v>
      </c>
      <c r="AI23" s="5">
        <f t="shared" ca="1" si="19"/>
        <v>44487</v>
      </c>
      <c r="AJ23" s="6" t="str">
        <f t="shared" ca="1" si="20"/>
        <v>M</v>
      </c>
      <c r="AK23" s="40">
        <f t="shared" si="21"/>
        <v>4.1323842100397523E-2</v>
      </c>
      <c r="AL23" s="40">
        <f t="shared" si="22"/>
        <v>7.8853046594982074E-2</v>
      </c>
    </row>
    <row r="24" spans="1:38" ht="15.6" customHeight="1" x14ac:dyDescent="0.25">
      <c r="A24" s="3" t="str">
        <f t="shared" ca="1" si="4"/>
        <v>Tue</v>
      </c>
      <c r="C24" s="5">
        <f t="shared" ca="1" si="23"/>
        <v>45216</v>
      </c>
      <c r="D24" s="6" t="str">
        <f t="shared" ca="1" si="3"/>
        <v>Tu</v>
      </c>
      <c r="E24" s="7">
        <v>10659</v>
      </c>
      <c r="F24" s="7">
        <f t="shared" si="5"/>
        <v>2235</v>
      </c>
      <c r="G24" s="8">
        <f t="shared" si="6"/>
        <v>0.20968195890796509</v>
      </c>
      <c r="H24" s="64">
        <v>149</v>
      </c>
      <c r="I24" s="64"/>
      <c r="J24" s="64">
        <f t="shared" si="7"/>
        <v>149</v>
      </c>
      <c r="L24" s="5">
        <f t="shared" ca="1" si="8"/>
        <v>44852</v>
      </c>
      <c r="M24" s="6" t="str">
        <f t="shared" ca="1" si="2"/>
        <v>Tu</v>
      </c>
      <c r="N24" s="7">
        <f>E24+3495</f>
        <v>14154</v>
      </c>
      <c r="O24" s="7">
        <f t="shared" si="9"/>
        <v>8430</v>
      </c>
      <c r="P24" s="8">
        <f t="shared" si="10"/>
        <v>0.59559135226791016</v>
      </c>
      <c r="Q24" s="64">
        <f>575-13</f>
        <v>562</v>
      </c>
      <c r="R24" s="64"/>
      <c r="S24" s="64">
        <f t="shared" si="11"/>
        <v>562</v>
      </c>
      <c r="T24" s="4"/>
      <c r="U24" s="5">
        <f t="shared" ca="1" si="12"/>
        <v>44488</v>
      </c>
      <c r="V24" s="6" t="str">
        <f t="shared" ca="1" si="1"/>
        <v>Tu</v>
      </c>
      <c r="W24" s="7">
        <f>N24+3495</f>
        <v>17649</v>
      </c>
      <c r="X24" s="7">
        <f t="shared" si="13"/>
        <v>8520</v>
      </c>
      <c r="Y24" s="8">
        <f t="shared" si="14"/>
        <v>0.48274689784123748</v>
      </c>
      <c r="Z24" s="67">
        <v>568</v>
      </c>
      <c r="AA24" s="64"/>
      <c r="AB24" s="64">
        <f t="shared" si="15"/>
        <v>568</v>
      </c>
      <c r="AD24" s="5">
        <f t="shared" ca="1" si="16"/>
        <v>44852</v>
      </c>
      <c r="AE24" s="6" t="str">
        <f t="shared" ca="1" si="17"/>
        <v>Tu</v>
      </c>
      <c r="AF24" s="40">
        <f t="shared" si="18"/>
        <v>-0.24692666384061043</v>
      </c>
      <c r="AG24" s="40">
        <f t="shared" si="18"/>
        <v>-0.73487544483985767</v>
      </c>
      <c r="AI24" s="5">
        <f t="shared" ca="1" si="19"/>
        <v>44488</v>
      </c>
      <c r="AJ24" s="6" t="str">
        <f t="shared" ca="1" si="20"/>
        <v>Tu</v>
      </c>
      <c r="AK24" s="40">
        <f t="shared" si="21"/>
        <v>-0.39605643379228284</v>
      </c>
      <c r="AL24" s="40">
        <f t="shared" si="22"/>
        <v>-0.73767605633802813</v>
      </c>
    </row>
    <row r="25" spans="1:38" ht="15.6" customHeight="1" x14ac:dyDescent="0.25">
      <c r="A25" s="3" t="str">
        <f t="shared" ca="1" si="4"/>
        <v>Wed</v>
      </c>
      <c r="C25" s="5">
        <f t="shared" ca="1" si="23"/>
        <v>45217</v>
      </c>
      <c r="D25" s="6" t="str">
        <f t="shared" ca="1" si="3"/>
        <v>W</v>
      </c>
      <c r="E25" s="7">
        <v>25633</v>
      </c>
      <c r="F25" s="7">
        <f t="shared" si="5"/>
        <v>7890</v>
      </c>
      <c r="G25" s="8">
        <f t="shared" si="6"/>
        <v>0.30780634338547963</v>
      </c>
      <c r="H25" s="64">
        <v>526</v>
      </c>
      <c r="I25" s="64"/>
      <c r="J25" s="64">
        <f t="shared" si="7"/>
        <v>526</v>
      </c>
      <c r="L25" s="5">
        <f t="shared" ca="1" si="8"/>
        <v>44853</v>
      </c>
      <c r="M25" s="6" t="str">
        <f t="shared" ca="1" si="2"/>
        <v>W</v>
      </c>
      <c r="N25" s="7">
        <f>E25+638</f>
        <v>26271</v>
      </c>
      <c r="O25" s="7">
        <f t="shared" si="9"/>
        <v>3390</v>
      </c>
      <c r="P25" s="8">
        <f t="shared" si="10"/>
        <v>0.12903962544250314</v>
      </c>
      <c r="Q25" s="64">
        <v>226</v>
      </c>
      <c r="R25" s="64"/>
      <c r="S25" s="64">
        <f t="shared" si="11"/>
        <v>226</v>
      </c>
      <c r="T25" s="4"/>
      <c r="U25" s="5">
        <f t="shared" ca="1" si="12"/>
        <v>44489</v>
      </c>
      <c r="V25" s="6" t="str">
        <f t="shared" ca="1" si="1"/>
        <v>W</v>
      </c>
      <c r="W25" s="7">
        <f>N25+638</f>
        <v>26909</v>
      </c>
      <c r="X25" s="7">
        <f t="shared" si="13"/>
        <v>3255</v>
      </c>
      <c r="Y25" s="8">
        <f t="shared" si="14"/>
        <v>0.12096324649745438</v>
      </c>
      <c r="Z25" s="67">
        <v>217</v>
      </c>
      <c r="AA25" s="64"/>
      <c r="AB25" s="64">
        <f t="shared" si="15"/>
        <v>217</v>
      </c>
      <c r="AD25" s="5">
        <f t="shared" ca="1" si="16"/>
        <v>44853</v>
      </c>
      <c r="AE25" s="6" t="str">
        <f t="shared" ca="1" si="17"/>
        <v>W</v>
      </c>
      <c r="AF25" s="40">
        <f t="shared" si="18"/>
        <v>-2.4285333637851625E-2</v>
      </c>
      <c r="AG25" s="40">
        <f t="shared" si="18"/>
        <v>1.3274336283185841</v>
      </c>
      <c r="AI25" s="5">
        <f t="shared" ca="1" si="19"/>
        <v>44489</v>
      </c>
      <c r="AJ25" s="6" t="str">
        <f t="shared" ca="1" si="20"/>
        <v>W</v>
      </c>
      <c r="AK25" s="40">
        <f t="shared" si="21"/>
        <v>-4.7419079118510538E-2</v>
      </c>
      <c r="AL25" s="40">
        <f t="shared" si="22"/>
        <v>1.4239631336405529</v>
      </c>
    </row>
    <row r="26" spans="1:38" ht="15.6" customHeight="1" x14ac:dyDescent="0.25">
      <c r="A26" s="3" t="str">
        <f t="shared" ca="1" si="4"/>
        <v>Thu</v>
      </c>
      <c r="C26" s="5">
        <f t="shared" ca="1" si="23"/>
        <v>45218</v>
      </c>
      <c r="D26" s="6" t="str">
        <f t="shared" ca="1" si="3"/>
        <v>Th</v>
      </c>
      <c r="E26" s="7">
        <v>29348</v>
      </c>
      <c r="F26" s="7">
        <f t="shared" si="5"/>
        <v>7575</v>
      </c>
      <c r="G26" s="8">
        <f t="shared" si="6"/>
        <v>0.25810958157284991</v>
      </c>
      <c r="H26" s="64">
        <v>505</v>
      </c>
      <c r="I26" s="64"/>
      <c r="J26" s="64">
        <f t="shared" si="7"/>
        <v>505</v>
      </c>
      <c r="L26" s="5">
        <f t="shared" ca="1" si="8"/>
        <v>44854</v>
      </c>
      <c r="M26" s="6" t="str">
        <f t="shared" ca="1" si="2"/>
        <v>Th</v>
      </c>
      <c r="N26" s="7">
        <f>E26-1932</f>
        <v>27416</v>
      </c>
      <c r="O26" s="7">
        <f t="shared" si="9"/>
        <v>8070</v>
      </c>
      <c r="P26" s="8">
        <f t="shared" si="10"/>
        <v>0.29435366209512692</v>
      </c>
      <c r="Q26" s="64">
        <f>523+15</f>
        <v>538</v>
      </c>
      <c r="R26" s="64"/>
      <c r="S26" s="64">
        <f t="shared" si="11"/>
        <v>538</v>
      </c>
      <c r="T26" s="4"/>
      <c r="U26" s="5">
        <f t="shared" ca="1" si="12"/>
        <v>44490</v>
      </c>
      <c r="V26" s="6" t="str">
        <f t="shared" ca="1" si="1"/>
        <v>Th</v>
      </c>
      <c r="W26" s="7">
        <f>N26-1932</f>
        <v>25484</v>
      </c>
      <c r="X26" s="7">
        <f t="shared" si="13"/>
        <v>8160</v>
      </c>
      <c r="Y26" s="8">
        <f t="shared" si="14"/>
        <v>0.32020091037513732</v>
      </c>
      <c r="Z26" s="67">
        <v>544</v>
      </c>
      <c r="AA26" s="64"/>
      <c r="AB26" s="64">
        <f t="shared" si="15"/>
        <v>544</v>
      </c>
      <c r="AD26" s="5">
        <f t="shared" ca="1" si="16"/>
        <v>44854</v>
      </c>
      <c r="AE26" s="6" t="str">
        <f t="shared" ca="1" si="17"/>
        <v>Th</v>
      </c>
      <c r="AF26" s="40">
        <f t="shared" si="18"/>
        <v>7.0469798657718116E-2</v>
      </c>
      <c r="AG26" s="40">
        <f t="shared" si="18"/>
        <v>-6.1338289962825282E-2</v>
      </c>
      <c r="AI26" s="5">
        <f t="shared" ca="1" si="19"/>
        <v>44490</v>
      </c>
      <c r="AJ26" s="6" t="str">
        <f t="shared" ca="1" si="20"/>
        <v>Th</v>
      </c>
      <c r="AK26" s="40">
        <f t="shared" si="21"/>
        <v>0.15162454873646208</v>
      </c>
      <c r="AL26" s="40">
        <f t="shared" si="22"/>
        <v>-7.169117647058823E-2</v>
      </c>
    </row>
    <row r="27" spans="1:38" ht="15.6" customHeight="1" x14ac:dyDescent="0.25">
      <c r="A27" s="3" t="str">
        <f t="shared" ca="1" si="4"/>
        <v>Fri</v>
      </c>
      <c r="C27" s="5">
        <f t="shared" ca="1" si="23"/>
        <v>45219</v>
      </c>
      <c r="D27" s="6" t="str">
        <f t="shared" ca="1" si="3"/>
        <v>F</v>
      </c>
      <c r="E27" s="7">
        <v>29584</v>
      </c>
      <c r="F27" s="7">
        <f t="shared" si="5"/>
        <v>8400</v>
      </c>
      <c r="G27" s="8">
        <f t="shared" si="6"/>
        <v>0.28393726338561387</v>
      </c>
      <c r="H27" s="64">
        <v>560</v>
      </c>
      <c r="I27" s="64"/>
      <c r="J27" s="64">
        <f t="shared" si="7"/>
        <v>560</v>
      </c>
      <c r="L27" s="5">
        <f t="shared" ca="1" si="8"/>
        <v>44855</v>
      </c>
      <c r="M27" s="6" t="str">
        <f t="shared" ca="1" si="2"/>
        <v>F</v>
      </c>
      <c r="N27" s="7">
        <f>E27-3562</f>
        <v>26022</v>
      </c>
      <c r="O27" s="7">
        <f t="shared" si="9"/>
        <v>8760</v>
      </c>
      <c r="P27" s="8">
        <f t="shared" si="10"/>
        <v>0.33663822919068481</v>
      </c>
      <c r="Q27" s="64">
        <f>610-26</f>
        <v>584</v>
      </c>
      <c r="R27" s="64"/>
      <c r="S27" s="64">
        <f t="shared" si="11"/>
        <v>584</v>
      </c>
      <c r="T27" s="4"/>
      <c r="U27" s="5">
        <f t="shared" ca="1" si="12"/>
        <v>44491</v>
      </c>
      <c r="V27" s="6" t="str">
        <f t="shared" ca="1" si="1"/>
        <v>F</v>
      </c>
      <c r="W27" s="7">
        <f>N27-3562</f>
        <v>22460</v>
      </c>
      <c r="X27" s="7">
        <f t="shared" si="13"/>
        <v>8625</v>
      </c>
      <c r="Y27" s="8">
        <f t="shared" si="14"/>
        <v>0.38401602849510241</v>
      </c>
      <c r="Z27" s="67">
        <v>575</v>
      </c>
      <c r="AA27" s="64"/>
      <c r="AB27" s="64">
        <f t="shared" si="15"/>
        <v>575</v>
      </c>
      <c r="AD27" s="5">
        <f t="shared" ca="1" si="16"/>
        <v>44855</v>
      </c>
      <c r="AE27" s="6" t="str">
        <f t="shared" ca="1" si="17"/>
        <v>F</v>
      </c>
      <c r="AF27" s="40">
        <f t="shared" si="18"/>
        <v>0.13688417492890631</v>
      </c>
      <c r="AG27" s="40">
        <f t="shared" si="18"/>
        <v>-4.1095890410958902E-2</v>
      </c>
      <c r="AI27" s="5">
        <f t="shared" ca="1" si="19"/>
        <v>44491</v>
      </c>
      <c r="AJ27" s="6" t="str">
        <f t="shared" ca="1" si="20"/>
        <v>F</v>
      </c>
      <c r="AK27" s="40">
        <f t="shared" si="21"/>
        <v>0.3171861086375779</v>
      </c>
      <c r="AL27" s="40">
        <f t="shared" si="22"/>
        <v>-2.6086956521739129E-2</v>
      </c>
    </row>
    <row r="28" spans="1:38" ht="15.6" customHeight="1" x14ac:dyDescent="0.25">
      <c r="A28" s="3" t="str">
        <f t="shared" ca="1" si="4"/>
        <v>Sat</v>
      </c>
      <c r="C28" s="5">
        <f t="shared" ca="1" si="23"/>
        <v>45220</v>
      </c>
      <c r="D28" s="6" t="str">
        <f t="shared" ca="1" si="3"/>
        <v>S</v>
      </c>
      <c r="E28" s="7">
        <v>39458</v>
      </c>
      <c r="F28" s="7">
        <f t="shared" si="5"/>
        <v>8625</v>
      </c>
      <c r="G28" s="8">
        <f t="shared" si="6"/>
        <v>0.2185868518424654</v>
      </c>
      <c r="H28" s="64">
        <v>575</v>
      </c>
      <c r="I28" s="64"/>
      <c r="J28" s="64">
        <f t="shared" si="7"/>
        <v>575</v>
      </c>
      <c r="L28" s="5">
        <f t="shared" ca="1" si="8"/>
        <v>44856</v>
      </c>
      <c r="M28" s="6" t="str">
        <f t="shared" ca="1" si="2"/>
        <v>S</v>
      </c>
      <c r="N28" s="7">
        <f>E28+2514</f>
        <v>41972</v>
      </c>
      <c r="O28" s="7">
        <f t="shared" si="9"/>
        <v>2385</v>
      </c>
      <c r="P28" s="8">
        <f t="shared" si="10"/>
        <v>5.6823596683503286E-2</v>
      </c>
      <c r="Q28" s="64">
        <f>150+9</f>
        <v>159</v>
      </c>
      <c r="R28" s="64"/>
      <c r="S28" s="64">
        <f t="shared" si="11"/>
        <v>159</v>
      </c>
      <c r="T28" s="4"/>
      <c r="U28" s="5">
        <f t="shared" ca="1" si="12"/>
        <v>44492</v>
      </c>
      <c r="V28" s="6" t="str">
        <f t="shared" ca="1" si="1"/>
        <v>S</v>
      </c>
      <c r="W28" s="7">
        <f>N28+2514</f>
        <v>44486</v>
      </c>
      <c r="X28" s="7">
        <f t="shared" si="13"/>
        <v>2475</v>
      </c>
      <c r="Y28" s="8">
        <f t="shared" si="14"/>
        <v>5.5635480825428227E-2</v>
      </c>
      <c r="Z28" s="67">
        <v>165</v>
      </c>
      <c r="AA28" s="64"/>
      <c r="AB28" s="64">
        <f t="shared" si="15"/>
        <v>165</v>
      </c>
      <c r="AD28" s="5">
        <f t="shared" ca="1" si="16"/>
        <v>44856</v>
      </c>
      <c r="AE28" s="6" t="str">
        <f t="shared" ca="1" si="17"/>
        <v>S</v>
      </c>
      <c r="AF28" s="40">
        <f t="shared" si="18"/>
        <v>-5.9897074239969504E-2</v>
      </c>
      <c r="AG28" s="40">
        <f t="shared" si="18"/>
        <v>2.6163522012578615</v>
      </c>
      <c r="AI28" s="5">
        <f t="shared" ca="1" si="19"/>
        <v>44492</v>
      </c>
      <c r="AJ28" s="6" t="str">
        <f t="shared" ca="1" si="20"/>
        <v>S</v>
      </c>
      <c r="AK28" s="40">
        <f t="shared" si="21"/>
        <v>-0.11302432225868812</v>
      </c>
      <c r="AL28" s="40">
        <f t="shared" si="22"/>
        <v>2.4848484848484849</v>
      </c>
    </row>
    <row r="29" spans="1:38" ht="15.6" customHeight="1" x14ac:dyDescent="0.25">
      <c r="A29" s="3" t="str">
        <f t="shared" ca="1" si="4"/>
        <v>Sun</v>
      </c>
      <c r="C29" s="5">
        <f t="shared" ca="1" si="23"/>
        <v>45221</v>
      </c>
      <c r="D29" s="6" t="str">
        <f t="shared" ca="1" si="3"/>
        <v>Su</v>
      </c>
      <c r="E29" s="7">
        <v>52389</v>
      </c>
      <c r="F29" s="7">
        <f t="shared" si="5"/>
        <v>8700</v>
      </c>
      <c r="G29" s="8">
        <f t="shared" si="6"/>
        <v>0.16606539540743287</v>
      </c>
      <c r="H29" s="64">
        <v>580</v>
      </c>
      <c r="I29" s="64">
        <v>3</v>
      </c>
      <c r="J29" s="64">
        <f t="shared" si="7"/>
        <v>583</v>
      </c>
      <c r="L29" s="5">
        <f t="shared" ca="1" si="8"/>
        <v>44857</v>
      </c>
      <c r="M29" s="6" t="str">
        <f t="shared" ca="1" si="2"/>
        <v>Su</v>
      </c>
      <c r="N29" s="7">
        <f>E29-1596</f>
        <v>50793</v>
      </c>
      <c r="O29" s="7">
        <f t="shared" si="9"/>
        <v>8025</v>
      </c>
      <c r="P29" s="8">
        <f t="shared" si="10"/>
        <v>0.1579942118008387</v>
      </c>
      <c r="Q29" s="64">
        <f>506+29</f>
        <v>535</v>
      </c>
      <c r="R29" s="64">
        <v>3</v>
      </c>
      <c r="S29" s="64">
        <f t="shared" si="11"/>
        <v>538</v>
      </c>
      <c r="T29" s="4"/>
      <c r="U29" s="5">
        <f t="shared" ca="1" si="12"/>
        <v>44493</v>
      </c>
      <c r="V29" s="6" t="str">
        <f t="shared" ca="1" si="1"/>
        <v>Su</v>
      </c>
      <c r="W29" s="7">
        <f>N29-1596</f>
        <v>49197</v>
      </c>
      <c r="X29" s="7">
        <f t="shared" si="13"/>
        <v>7890</v>
      </c>
      <c r="Y29" s="8">
        <f t="shared" si="14"/>
        <v>0.16037563266052809</v>
      </c>
      <c r="Z29" s="67">
        <v>526</v>
      </c>
      <c r="AA29" s="64">
        <v>3</v>
      </c>
      <c r="AB29" s="64">
        <f t="shared" si="15"/>
        <v>529</v>
      </c>
      <c r="AD29" s="5">
        <f t="shared" ca="1" si="16"/>
        <v>44857</v>
      </c>
      <c r="AE29" s="6" t="str">
        <f t="shared" ca="1" si="17"/>
        <v>Su</v>
      </c>
      <c r="AF29" s="40">
        <f t="shared" si="18"/>
        <v>3.1421652589923806E-2</v>
      </c>
      <c r="AG29" s="40">
        <f t="shared" si="18"/>
        <v>8.4112149532710276E-2</v>
      </c>
      <c r="AI29" s="5">
        <f t="shared" ca="1" si="19"/>
        <v>44493</v>
      </c>
      <c r="AJ29" s="6" t="str">
        <f t="shared" ca="1" si="20"/>
        <v>Su</v>
      </c>
      <c r="AK29" s="40">
        <f t="shared" si="21"/>
        <v>6.4882005000304901E-2</v>
      </c>
      <c r="AL29" s="40">
        <f t="shared" si="22"/>
        <v>0.10266159695817491</v>
      </c>
    </row>
    <row r="30" spans="1:38" ht="15.6" customHeight="1" x14ac:dyDescent="0.25">
      <c r="A30" s="3" t="str">
        <f t="shared" ca="1" si="4"/>
        <v>Mon</v>
      </c>
      <c r="C30" s="5">
        <f t="shared" ca="1" si="23"/>
        <v>45222</v>
      </c>
      <c r="D30" s="6" t="str">
        <f t="shared" ca="1" si="3"/>
        <v>M</v>
      </c>
      <c r="E30" s="7">
        <v>55689</v>
      </c>
      <c r="F30" s="7">
        <f t="shared" si="5"/>
        <v>8985</v>
      </c>
      <c r="G30" s="8">
        <f t="shared" si="6"/>
        <v>0.16134245542207618</v>
      </c>
      <c r="H30" s="64">
        <v>599</v>
      </c>
      <c r="I30" s="64">
        <v>16</v>
      </c>
      <c r="J30" s="64">
        <f t="shared" si="7"/>
        <v>615</v>
      </c>
      <c r="L30" s="5">
        <f t="shared" ca="1" si="8"/>
        <v>44858</v>
      </c>
      <c r="M30" s="6" t="str">
        <f t="shared" ca="1" si="2"/>
        <v>M</v>
      </c>
      <c r="N30" s="7">
        <f>E30-894</f>
        <v>54795</v>
      </c>
      <c r="O30" s="7">
        <f t="shared" si="9"/>
        <v>7335</v>
      </c>
      <c r="P30" s="8">
        <f t="shared" si="10"/>
        <v>0.13386257870243634</v>
      </c>
      <c r="Q30" s="64">
        <v>489</v>
      </c>
      <c r="R30" s="64">
        <v>16</v>
      </c>
      <c r="S30" s="64">
        <f t="shared" si="11"/>
        <v>505</v>
      </c>
      <c r="T30" s="4"/>
      <c r="U30" s="5">
        <f t="shared" ca="1" si="12"/>
        <v>44494</v>
      </c>
      <c r="V30" s="6" t="str">
        <f t="shared" ca="1" si="1"/>
        <v>M</v>
      </c>
      <c r="W30" s="7">
        <f>N30-894</f>
        <v>53901</v>
      </c>
      <c r="X30" s="7">
        <f t="shared" si="13"/>
        <v>7425</v>
      </c>
      <c r="Y30" s="8">
        <f t="shared" si="14"/>
        <v>0.13775254633494741</v>
      </c>
      <c r="Z30" s="67">
        <v>495</v>
      </c>
      <c r="AA30" s="64">
        <v>16</v>
      </c>
      <c r="AB30" s="64">
        <f t="shared" si="15"/>
        <v>511</v>
      </c>
      <c r="AD30" s="5">
        <f t="shared" ca="1" si="16"/>
        <v>44858</v>
      </c>
      <c r="AE30" s="6" t="str">
        <f t="shared" ca="1" si="17"/>
        <v>M</v>
      </c>
      <c r="AF30" s="40">
        <f t="shared" si="18"/>
        <v>1.6315357240624145E-2</v>
      </c>
      <c r="AG30" s="40">
        <f t="shared" si="18"/>
        <v>0.22494887525562371</v>
      </c>
      <c r="AI30" s="5">
        <f t="shared" ca="1" si="19"/>
        <v>44494</v>
      </c>
      <c r="AJ30" s="6" t="str">
        <f t="shared" ca="1" si="20"/>
        <v>M</v>
      </c>
      <c r="AK30" s="40">
        <f t="shared" si="21"/>
        <v>3.3171926309344908E-2</v>
      </c>
      <c r="AL30" s="40">
        <f t="shared" si="22"/>
        <v>0.21010101010101009</v>
      </c>
    </row>
    <row r="31" spans="1:38" ht="15.6" customHeight="1" x14ac:dyDescent="0.25">
      <c r="A31" s="3" t="str">
        <f t="shared" ca="1" si="4"/>
        <v>Tue</v>
      </c>
      <c r="C31" s="5">
        <f t="shared" ca="1" si="23"/>
        <v>45223</v>
      </c>
      <c r="D31" s="6" t="str">
        <f t="shared" ca="1" si="3"/>
        <v>Tu</v>
      </c>
      <c r="E31" s="7">
        <v>9589</v>
      </c>
      <c r="F31" s="7">
        <f t="shared" si="5"/>
        <v>1950</v>
      </c>
      <c r="G31" s="8">
        <f t="shared" si="6"/>
        <v>0.20335801439149026</v>
      </c>
      <c r="H31" s="64">
        <v>130</v>
      </c>
      <c r="I31" s="64"/>
      <c r="J31" s="64">
        <f t="shared" si="7"/>
        <v>130</v>
      </c>
      <c r="L31" s="5">
        <f t="shared" ca="1" si="8"/>
        <v>44859</v>
      </c>
      <c r="M31" s="6" t="str">
        <f t="shared" ca="1" si="2"/>
        <v>Tu</v>
      </c>
      <c r="N31" s="7">
        <f>E31+3495</f>
        <v>13084</v>
      </c>
      <c r="O31" s="7">
        <f t="shared" si="9"/>
        <v>8070</v>
      </c>
      <c r="P31" s="8">
        <f t="shared" si="10"/>
        <v>0.61678385814735559</v>
      </c>
      <c r="Q31" s="64">
        <f>523+15</f>
        <v>538</v>
      </c>
      <c r="R31" s="64"/>
      <c r="S31" s="64">
        <f t="shared" si="11"/>
        <v>538</v>
      </c>
      <c r="T31" s="4"/>
      <c r="U31" s="5">
        <f t="shared" ca="1" si="12"/>
        <v>44495</v>
      </c>
      <c r="V31" s="6" t="str">
        <f t="shared" ca="1" si="1"/>
        <v>Tu</v>
      </c>
      <c r="W31" s="7">
        <f>N31+3495</f>
        <v>16579</v>
      </c>
      <c r="X31" s="7">
        <f t="shared" si="13"/>
        <v>7935</v>
      </c>
      <c r="Y31" s="8">
        <f t="shared" si="14"/>
        <v>0.47861752819832321</v>
      </c>
      <c r="Z31" s="67">
        <v>529</v>
      </c>
      <c r="AA31" s="64"/>
      <c r="AB31" s="64">
        <f t="shared" si="15"/>
        <v>529</v>
      </c>
      <c r="AD31" s="5">
        <f t="shared" ca="1" si="16"/>
        <v>44859</v>
      </c>
      <c r="AE31" s="6" t="str">
        <f t="shared" ca="1" si="17"/>
        <v>Tu</v>
      </c>
      <c r="AF31" s="40">
        <f t="shared" si="18"/>
        <v>-0.26712014674411494</v>
      </c>
      <c r="AG31" s="40">
        <f t="shared" si="18"/>
        <v>-0.75836431226765799</v>
      </c>
      <c r="AI31" s="5">
        <f t="shared" ca="1" si="19"/>
        <v>44495</v>
      </c>
      <c r="AJ31" s="6" t="str">
        <f t="shared" ca="1" si="20"/>
        <v>Tu</v>
      </c>
      <c r="AK31" s="40">
        <f t="shared" si="21"/>
        <v>-0.42161770915012969</v>
      </c>
      <c r="AL31" s="40">
        <f t="shared" si="22"/>
        <v>-0.75425330812854441</v>
      </c>
    </row>
    <row r="32" spans="1:38" ht="15.6" customHeight="1" x14ac:dyDescent="0.25">
      <c r="A32" s="3" t="str">
        <f t="shared" ca="1" si="4"/>
        <v>Wed</v>
      </c>
      <c r="C32" s="5">
        <f t="shared" ca="1" si="23"/>
        <v>45224</v>
      </c>
      <c r="D32" s="6" t="str">
        <f t="shared" ca="1" si="3"/>
        <v>W</v>
      </c>
      <c r="E32" s="7">
        <v>19864</v>
      </c>
      <c r="F32" s="7">
        <f t="shared" si="5"/>
        <v>7725</v>
      </c>
      <c r="G32" s="8">
        <f t="shared" si="6"/>
        <v>0.38889448248086994</v>
      </c>
      <c r="H32" s="64">
        <v>515</v>
      </c>
      <c r="I32" s="64"/>
      <c r="J32" s="64">
        <f t="shared" si="7"/>
        <v>515</v>
      </c>
      <c r="L32" s="5">
        <f t="shared" ca="1" si="8"/>
        <v>44860</v>
      </c>
      <c r="M32" s="6" t="str">
        <f t="shared" ca="1" si="2"/>
        <v>W</v>
      </c>
      <c r="N32" s="7">
        <f>E32+638</f>
        <v>20502</v>
      </c>
      <c r="O32" s="7">
        <f t="shared" si="9"/>
        <v>8760</v>
      </c>
      <c r="P32" s="8">
        <f t="shared" si="10"/>
        <v>0.4272753877670471</v>
      </c>
      <c r="Q32" s="64">
        <f>610-26</f>
        <v>584</v>
      </c>
      <c r="R32" s="64"/>
      <c r="S32" s="64">
        <f t="shared" si="11"/>
        <v>584</v>
      </c>
      <c r="T32" s="4"/>
      <c r="U32" s="5">
        <f t="shared" ca="1" si="12"/>
        <v>44496</v>
      </c>
      <c r="V32" s="6" t="str">
        <f t="shared" ca="1" si="1"/>
        <v>W</v>
      </c>
      <c r="W32" s="7">
        <f>N32+638</f>
        <v>21140</v>
      </c>
      <c r="X32" s="7">
        <f t="shared" si="13"/>
        <v>8850</v>
      </c>
      <c r="Y32" s="8">
        <f t="shared" si="14"/>
        <v>0.41863765373699147</v>
      </c>
      <c r="Z32" s="67">
        <v>590</v>
      </c>
      <c r="AA32" s="64"/>
      <c r="AB32" s="64">
        <f t="shared" si="15"/>
        <v>590</v>
      </c>
      <c r="AD32" s="5">
        <f t="shared" ca="1" si="16"/>
        <v>44860</v>
      </c>
      <c r="AE32" s="6" t="str">
        <f t="shared" ca="1" si="17"/>
        <v>W</v>
      </c>
      <c r="AF32" s="40">
        <f t="shared" si="18"/>
        <v>-3.1118915227782654E-2</v>
      </c>
      <c r="AG32" s="40">
        <f t="shared" si="18"/>
        <v>-0.11815068493150685</v>
      </c>
      <c r="AI32" s="5">
        <f t="shared" ca="1" si="19"/>
        <v>44496</v>
      </c>
      <c r="AJ32" s="6" t="str">
        <f t="shared" ca="1" si="20"/>
        <v>W</v>
      </c>
      <c r="AK32" s="40">
        <f t="shared" si="21"/>
        <v>-6.0359508041627249E-2</v>
      </c>
      <c r="AL32" s="40">
        <f t="shared" si="22"/>
        <v>-0.1271186440677966</v>
      </c>
    </row>
    <row r="33" spans="1:38" ht="15.6" customHeight="1" x14ac:dyDescent="0.25">
      <c r="A33" s="3" t="str">
        <f t="shared" ca="1" si="4"/>
        <v>Thu</v>
      </c>
      <c r="C33" s="5">
        <f t="shared" ca="1" si="23"/>
        <v>45225</v>
      </c>
      <c r="D33" s="6" t="str">
        <f t="shared" ca="1" si="3"/>
        <v>Th</v>
      </c>
      <c r="E33" s="7">
        <v>31025</v>
      </c>
      <c r="F33" s="7">
        <f t="shared" si="5"/>
        <v>7935</v>
      </c>
      <c r="G33" s="8">
        <f t="shared" si="6"/>
        <v>0.25576148267526189</v>
      </c>
      <c r="H33" s="64">
        <v>529</v>
      </c>
      <c r="I33" s="64"/>
      <c r="J33" s="64">
        <f t="shared" si="7"/>
        <v>529</v>
      </c>
      <c r="L33" s="5">
        <f t="shared" ca="1" si="8"/>
        <v>44861</v>
      </c>
      <c r="M33" s="6" t="str">
        <f t="shared" ca="1" si="2"/>
        <v>Th</v>
      </c>
      <c r="N33" s="7">
        <f>E33-1932</f>
        <v>29093</v>
      </c>
      <c r="O33" s="7">
        <f t="shared" si="9"/>
        <v>8835</v>
      </c>
      <c r="P33" s="8">
        <f t="shared" si="10"/>
        <v>0.30368129790671294</v>
      </c>
      <c r="Q33" s="64">
        <v>589</v>
      </c>
      <c r="R33" s="64"/>
      <c r="S33" s="64">
        <f t="shared" si="11"/>
        <v>589</v>
      </c>
      <c r="T33" s="4"/>
      <c r="U33" s="5">
        <f t="shared" ca="1" si="12"/>
        <v>44497</v>
      </c>
      <c r="V33" s="6" t="str">
        <f t="shared" ca="1" si="1"/>
        <v>Th</v>
      </c>
      <c r="W33" s="7">
        <f>N33-1932</f>
        <v>27161</v>
      </c>
      <c r="X33" s="7">
        <f t="shared" si="13"/>
        <v>8700</v>
      </c>
      <c r="Y33" s="8">
        <f t="shared" si="14"/>
        <v>0.32031221236331503</v>
      </c>
      <c r="Z33" s="67">
        <v>580</v>
      </c>
      <c r="AA33" s="64"/>
      <c r="AB33" s="64">
        <f t="shared" si="15"/>
        <v>580</v>
      </c>
      <c r="AD33" s="5">
        <f t="shared" ca="1" si="16"/>
        <v>44861</v>
      </c>
      <c r="AE33" s="6" t="str">
        <f t="shared" ca="1" si="17"/>
        <v>Th</v>
      </c>
      <c r="AF33" s="40">
        <f t="shared" si="18"/>
        <v>6.640772694462585E-2</v>
      </c>
      <c r="AG33" s="40">
        <f t="shared" si="18"/>
        <v>-0.10186757215619695</v>
      </c>
      <c r="AI33" s="5">
        <f t="shared" ca="1" si="19"/>
        <v>44497</v>
      </c>
      <c r="AJ33" s="6" t="str">
        <f t="shared" ca="1" si="20"/>
        <v>Th</v>
      </c>
      <c r="AK33" s="40">
        <f t="shared" si="21"/>
        <v>0.14226280328412061</v>
      </c>
      <c r="AL33" s="40">
        <f t="shared" si="22"/>
        <v>-8.7931034482758616E-2</v>
      </c>
    </row>
    <row r="34" spans="1:38" ht="15.6" customHeight="1" x14ac:dyDescent="0.25">
      <c r="A34" s="3" t="str">
        <f t="shared" ca="1" si="4"/>
        <v>Fri</v>
      </c>
      <c r="C34" s="5">
        <f t="shared" ca="1" si="23"/>
        <v>45226</v>
      </c>
      <c r="D34" s="6" t="str">
        <f t="shared" ca="1" si="3"/>
        <v>F</v>
      </c>
      <c r="E34" s="7">
        <v>36489</v>
      </c>
      <c r="F34" s="7">
        <f t="shared" si="5"/>
        <v>8340</v>
      </c>
      <c r="G34" s="8">
        <f t="shared" si="6"/>
        <v>0.22856203239332401</v>
      </c>
      <c r="H34" s="64">
        <v>556</v>
      </c>
      <c r="I34" s="64"/>
      <c r="J34" s="64">
        <f t="shared" si="7"/>
        <v>556</v>
      </c>
      <c r="L34" s="5">
        <f t="shared" ca="1" si="8"/>
        <v>44862</v>
      </c>
      <c r="M34" s="6" t="str">
        <f t="shared" ca="1" si="2"/>
        <v>F</v>
      </c>
      <c r="N34" s="7">
        <f>E34-3562</f>
        <v>32927</v>
      </c>
      <c r="O34" s="7">
        <f t="shared" si="9"/>
        <v>8025</v>
      </c>
      <c r="P34" s="8">
        <f t="shared" si="10"/>
        <v>0.24372095848391898</v>
      </c>
      <c r="Q34" s="64">
        <f>506+29</f>
        <v>535</v>
      </c>
      <c r="R34" s="64"/>
      <c r="S34" s="64">
        <f t="shared" si="11"/>
        <v>535</v>
      </c>
      <c r="T34" s="4"/>
      <c r="U34" s="5">
        <f t="shared" ca="1" si="12"/>
        <v>44498</v>
      </c>
      <c r="V34" s="6" t="str">
        <f t="shared" ca="1" si="1"/>
        <v>F</v>
      </c>
      <c r="W34" s="7">
        <f>N34-3562</f>
        <v>29365</v>
      </c>
      <c r="X34" s="7">
        <f t="shared" si="13"/>
        <v>8115</v>
      </c>
      <c r="Y34" s="8">
        <f t="shared" si="14"/>
        <v>0.27634939553890686</v>
      </c>
      <c r="Z34" s="67">
        <v>541</v>
      </c>
      <c r="AA34" s="64"/>
      <c r="AB34" s="64">
        <f t="shared" si="15"/>
        <v>541</v>
      </c>
      <c r="AD34" s="5">
        <f t="shared" ca="1" si="16"/>
        <v>44862</v>
      </c>
      <c r="AE34" s="6" t="str">
        <f t="shared" ca="1" si="17"/>
        <v>F</v>
      </c>
      <c r="AF34" s="40">
        <f t="shared" si="18"/>
        <v>0.10817869833267531</v>
      </c>
      <c r="AG34" s="40">
        <f t="shared" si="18"/>
        <v>3.925233644859813E-2</v>
      </c>
      <c r="AI34" s="5">
        <f t="shared" ca="1" si="19"/>
        <v>44498</v>
      </c>
      <c r="AJ34" s="6" t="str">
        <f t="shared" ca="1" si="20"/>
        <v>F</v>
      </c>
      <c r="AK34" s="40">
        <f t="shared" si="21"/>
        <v>0.24260173676145072</v>
      </c>
      <c r="AL34" s="40">
        <f t="shared" si="22"/>
        <v>2.7726432532347505E-2</v>
      </c>
    </row>
    <row r="35" spans="1:38" ht="15.6" customHeight="1" x14ac:dyDescent="0.25">
      <c r="A35" s="3" t="str">
        <f t="shared" ca="1" si="4"/>
        <v>Sat</v>
      </c>
      <c r="C35" s="5">
        <f t="shared" ca="1" si="23"/>
        <v>45227</v>
      </c>
      <c r="D35" s="6" t="str">
        <f t="shared" ca="1" si="3"/>
        <v>S</v>
      </c>
      <c r="E35" s="7">
        <v>37891</v>
      </c>
      <c r="F35" s="7">
        <f t="shared" si="5"/>
        <v>8700</v>
      </c>
      <c r="G35" s="8">
        <f t="shared" si="6"/>
        <v>0.22960597503364916</v>
      </c>
      <c r="H35" s="64">
        <v>580</v>
      </c>
      <c r="I35" s="64"/>
      <c r="J35" s="64">
        <f t="shared" si="7"/>
        <v>580</v>
      </c>
      <c r="L35" s="5">
        <f t="shared" ca="1" si="8"/>
        <v>44863</v>
      </c>
      <c r="M35" s="6" t="str">
        <f t="shared" ca="1" si="2"/>
        <v>S</v>
      </c>
      <c r="N35" s="7">
        <f>E35+269</f>
        <v>38160</v>
      </c>
      <c r="O35" s="7">
        <f t="shared" si="9"/>
        <v>7965</v>
      </c>
      <c r="P35" s="8">
        <f t="shared" si="10"/>
        <v>0.20872641509433962</v>
      </c>
      <c r="Q35" s="64">
        <f>510+21</f>
        <v>531</v>
      </c>
      <c r="R35" s="64"/>
      <c r="S35" s="64">
        <f t="shared" si="11"/>
        <v>531</v>
      </c>
      <c r="T35" s="4"/>
      <c r="U35" s="5">
        <f t="shared" ca="1" si="12"/>
        <v>44499</v>
      </c>
      <c r="V35" s="6" t="str">
        <f t="shared" ca="1" si="1"/>
        <v>S</v>
      </c>
      <c r="W35" s="7">
        <f>N35+269</f>
        <v>38429</v>
      </c>
      <c r="X35" s="7">
        <f t="shared" si="13"/>
        <v>7830</v>
      </c>
      <c r="Y35" s="8">
        <f t="shared" si="14"/>
        <v>0.20375237450883446</v>
      </c>
      <c r="Z35" s="67">
        <v>522</v>
      </c>
      <c r="AA35" s="64"/>
      <c r="AB35" s="64">
        <f t="shared" si="15"/>
        <v>522</v>
      </c>
      <c r="AD35" s="5">
        <f t="shared" ca="1" si="16"/>
        <v>44863</v>
      </c>
      <c r="AE35" s="6" t="str">
        <f t="shared" ca="1" si="17"/>
        <v>S</v>
      </c>
      <c r="AF35" s="40">
        <f t="shared" si="18"/>
        <v>-7.0492662473794548E-3</v>
      </c>
      <c r="AG35" s="40">
        <f t="shared" si="18"/>
        <v>9.2278719397363471E-2</v>
      </c>
      <c r="AI35" s="5">
        <f t="shared" ca="1" si="19"/>
        <v>44499</v>
      </c>
      <c r="AJ35" s="6" t="str">
        <f t="shared" ca="1" si="20"/>
        <v>S</v>
      </c>
      <c r="AK35" s="40">
        <f t="shared" si="21"/>
        <v>-1.3999843867912254E-2</v>
      </c>
      <c r="AL35" s="40">
        <f t="shared" si="22"/>
        <v>0.1111111111111111</v>
      </c>
    </row>
    <row r="36" spans="1:38" ht="15.6" customHeight="1" x14ac:dyDescent="0.25">
      <c r="A36" s="3" t="str">
        <f t="shared" ca="1" si="4"/>
        <v>Sun</v>
      </c>
      <c r="C36" s="5">
        <f t="shared" ca="1" si="23"/>
        <v>45228</v>
      </c>
      <c r="D36" s="6" t="str">
        <f t="shared" ca="1" si="3"/>
        <v>Su</v>
      </c>
      <c r="E36" s="7">
        <v>60235</v>
      </c>
      <c r="F36" s="7">
        <f t="shared" si="5"/>
        <v>8940</v>
      </c>
      <c r="G36" s="8">
        <f t="shared" si="6"/>
        <v>0.14841869345065162</v>
      </c>
      <c r="H36" s="64">
        <v>596</v>
      </c>
      <c r="I36" s="64">
        <v>16</v>
      </c>
      <c r="J36" s="64">
        <f t="shared" si="7"/>
        <v>612</v>
      </c>
      <c r="L36" s="5">
        <f t="shared" ca="1" si="8"/>
        <v>44864</v>
      </c>
      <c r="M36" s="6" t="str">
        <f t="shared" ca="1" si="2"/>
        <v>Su</v>
      </c>
      <c r="N36" s="7">
        <f>E36-596</f>
        <v>59639</v>
      </c>
      <c r="O36" s="7">
        <f t="shared" si="9"/>
        <v>8175</v>
      </c>
      <c r="P36" s="8">
        <f t="shared" si="10"/>
        <v>0.13707473297674341</v>
      </c>
      <c r="Q36" s="64">
        <f>550-5</f>
        <v>545</v>
      </c>
      <c r="R36" s="64">
        <v>12</v>
      </c>
      <c r="S36" s="64">
        <f t="shared" si="11"/>
        <v>557</v>
      </c>
      <c r="T36" s="4"/>
      <c r="U36" s="5">
        <f t="shared" ca="1" si="12"/>
        <v>44500</v>
      </c>
      <c r="V36" s="6" t="str">
        <f t="shared" ca="1" si="1"/>
        <v>Su</v>
      </c>
      <c r="W36" s="7">
        <f>N36-596</f>
        <v>59043</v>
      </c>
      <c r="X36" s="7">
        <f t="shared" si="13"/>
        <v>8265</v>
      </c>
      <c r="Y36" s="8">
        <f t="shared" si="14"/>
        <v>0.13998272445505819</v>
      </c>
      <c r="Z36" s="67">
        <v>551</v>
      </c>
      <c r="AA36" s="64">
        <v>11</v>
      </c>
      <c r="AB36" s="64">
        <f t="shared" si="15"/>
        <v>562</v>
      </c>
      <c r="AD36" s="5">
        <f t="shared" ca="1" si="16"/>
        <v>44864</v>
      </c>
      <c r="AE36" s="6" t="str">
        <f t="shared" ca="1" si="17"/>
        <v>Su</v>
      </c>
      <c r="AF36" s="40">
        <f t="shared" si="18"/>
        <v>9.9934606549405593E-3</v>
      </c>
      <c r="AG36" s="40">
        <f t="shared" si="18"/>
        <v>9.3577981651376152E-2</v>
      </c>
      <c r="AI36" s="5">
        <f t="shared" ca="1" si="19"/>
        <v>44500</v>
      </c>
      <c r="AJ36" s="6" t="str">
        <f t="shared" ca="1" si="20"/>
        <v>Su</v>
      </c>
      <c r="AK36" s="40">
        <f t="shared" si="21"/>
        <v>2.0188676049658724E-2</v>
      </c>
      <c r="AL36" s="40">
        <f t="shared" si="22"/>
        <v>8.1669691470054442E-2</v>
      </c>
    </row>
    <row r="37" spans="1:38" ht="15.6" customHeight="1" x14ac:dyDescent="0.25">
      <c r="A37" s="3" t="str">
        <f t="shared" ca="1" si="4"/>
        <v>Mon</v>
      </c>
      <c r="C37" s="5">
        <f t="shared" ca="1" si="23"/>
        <v>45229</v>
      </c>
      <c r="D37" s="6" t="str">
        <f t="shared" ca="1" si="3"/>
        <v>M</v>
      </c>
      <c r="E37" s="7">
        <v>61598</v>
      </c>
      <c r="F37" s="7">
        <f t="shared" si="5"/>
        <v>9015</v>
      </c>
      <c r="G37" s="8">
        <f t="shared" si="6"/>
        <v>0.14635215429072373</v>
      </c>
      <c r="H37" s="64">
        <v>601</v>
      </c>
      <c r="I37" s="64">
        <v>35</v>
      </c>
      <c r="J37" s="64">
        <f t="shared" si="7"/>
        <v>636</v>
      </c>
      <c r="L37" s="5">
        <f t="shared" ca="1" si="8"/>
        <v>44865</v>
      </c>
      <c r="M37" s="6" t="str">
        <f t="shared" ca="1" si="2"/>
        <v>M</v>
      </c>
      <c r="N37" s="7">
        <f>E37-749</f>
        <v>60849</v>
      </c>
      <c r="O37" s="7">
        <f t="shared" si="9"/>
        <v>8505</v>
      </c>
      <c r="P37" s="8">
        <f t="shared" si="10"/>
        <v>0.13977222304392842</v>
      </c>
      <c r="Q37" s="64">
        <f>555+12</f>
        <v>567</v>
      </c>
      <c r="R37" s="64">
        <v>41</v>
      </c>
      <c r="S37" s="64">
        <f t="shared" si="11"/>
        <v>608</v>
      </c>
      <c r="T37" s="4"/>
      <c r="U37" s="5">
        <f t="shared" ca="1" si="12"/>
        <v>44501</v>
      </c>
      <c r="V37" s="6" t="str">
        <f t="shared" ca="1" si="1"/>
        <v>M</v>
      </c>
      <c r="W37" s="7">
        <f>N37-749</f>
        <v>60100</v>
      </c>
      <c r="X37" s="7">
        <f t="shared" si="13"/>
        <v>8370</v>
      </c>
      <c r="Y37" s="8">
        <f t="shared" si="14"/>
        <v>0.13926788685524127</v>
      </c>
      <c r="Z37" s="67">
        <v>558</v>
      </c>
      <c r="AA37" s="64">
        <v>45</v>
      </c>
      <c r="AB37" s="64">
        <f t="shared" si="15"/>
        <v>603</v>
      </c>
      <c r="AD37" s="5">
        <f t="shared" ca="1" si="16"/>
        <v>44865</v>
      </c>
      <c r="AE37" s="6" t="str">
        <f t="shared" ca="1" si="17"/>
        <v>M</v>
      </c>
      <c r="AF37" s="40">
        <f t="shared" si="18"/>
        <v>1.2309158737201927E-2</v>
      </c>
      <c r="AG37" s="40">
        <f t="shared" si="18"/>
        <v>5.9964726631393295E-2</v>
      </c>
      <c r="AI37" s="5">
        <f t="shared" ca="1" si="19"/>
        <v>44501</v>
      </c>
      <c r="AJ37" s="6" t="str">
        <f t="shared" ca="1" si="20"/>
        <v>M</v>
      </c>
      <c r="AK37" s="40">
        <f t="shared" si="21"/>
        <v>2.4925124792013312E-2</v>
      </c>
      <c r="AL37" s="40">
        <f t="shared" si="22"/>
        <v>7.7060931899641583E-2</v>
      </c>
    </row>
    <row r="38" spans="1:38" ht="15.6" customHeight="1" x14ac:dyDescent="0.25">
      <c r="A38" s="3" t="str">
        <f t="shared" ca="1" si="4"/>
        <v>Tue</v>
      </c>
      <c r="C38" s="5">
        <f t="shared" ca="1" si="23"/>
        <v>45230</v>
      </c>
      <c r="D38" s="6" t="str">
        <f t="shared" ca="1" si="3"/>
        <v>Tu</v>
      </c>
      <c r="E38" s="7">
        <v>11598</v>
      </c>
      <c r="F38" s="7">
        <f t="shared" si="5"/>
        <v>1470</v>
      </c>
      <c r="G38" s="8">
        <f t="shared" si="6"/>
        <v>0.12674599068804968</v>
      </c>
      <c r="H38" s="64">
        <v>98</v>
      </c>
      <c r="I38" s="64"/>
      <c r="J38" s="64">
        <f t="shared" si="7"/>
        <v>98</v>
      </c>
      <c r="L38" s="5">
        <f t="shared" ca="1" si="8"/>
        <v>44866</v>
      </c>
      <c r="M38" s="6" t="str">
        <f t="shared" ca="1" si="2"/>
        <v>Tu</v>
      </c>
      <c r="N38" s="7">
        <f t="shared" ref="N38" si="24">E38+2514</f>
        <v>14112</v>
      </c>
      <c r="O38" s="7">
        <f t="shared" si="9"/>
        <v>8430</v>
      </c>
      <c r="P38" s="8">
        <f t="shared" si="10"/>
        <v>0.59736394557823125</v>
      </c>
      <c r="Q38" s="64">
        <f>575-13</f>
        <v>562</v>
      </c>
      <c r="R38" s="64"/>
      <c r="S38" s="64">
        <f t="shared" si="11"/>
        <v>562</v>
      </c>
      <c r="T38" s="4"/>
      <c r="U38" s="5">
        <f t="shared" ca="1" si="12"/>
        <v>44502</v>
      </c>
      <c r="V38" s="6" t="str">
        <f t="shared" ca="1" si="1"/>
        <v>Tu</v>
      </c>
      <c r="W38" s="7">
        <f t="shared" ref="W38" si="25">N38+2514</f>
        <v>16626</v>
      </c>
      <c r="X38" s="7">
        <f t="shared" si="13"/>
        <v>8520</v>
      </c>
      <c r="Y38" s="8">
        <f t="shared" si="14"/>
        <v>0.51245037892457601</v>
      </c>
      <c r="Z38" s="67">
        <v>568</v>
      </c>
      <c r="AA38" s="64"/>
      <c r="AB38" s="64">
        <f t="shared" si="15"/>
        <v>568</v>
      </c>
      <c r="AD38" s="5">
        <f t="shared" ca="1" si="16"/>
        <v>44866</v>
      </c>
      <c r="AE38" s="6" t="str">
        <f t="shared" ca="1" si="17"/>
        <v>Tu</v>
      </c>
      <c r="AF38" s="40">
        <f t="shared" si="18"/>
        <v>-0.17814625850340135</v>
      </c>
      <c r="AG38" s="40">
        <f t="shared" si="18"/>
        <v>-0.82562277580071175</v>
      </c>
      <c r="AI38" s="5">
        <f t="shared" ca="1" si="19"/>
        <v>44502</v>
      </c>
      <c r="AJ38" s="6" t="str">
        <f t="shared" ca="1" si="20"/>
        <v>Tu</v>
      </c>
      <c r="AK38" s="40">
        <f t="shared" si="21"/>
        <v>-0.30241789967520749</v>
      </c>
      <c r="AL38" s="40">
        <f t="shared" si="22"/>
        <v>-0.82746478873239437</v>
      </c>
    </row>
    <row r="39" spans="1:38" s="22" customFormat="1" ht="22.5" customHeight="1" x14ac:dyDescent="0.25">
      <c r="A39" s="20"/>
      <c r="B39" s="20"/>
      <c r="C39" s="46" t="s">
        <v>15</v>
      </c>
      <c r="D39" s="47"/>
      <c r="E39" s="21">
        <f ca="1">SUMIF($C$8:$C$38, "&lt;="&amp;TODAY(), $E$8:$E$38)</f>
        <v>62855</v>
      </c>
      <c r="F39" s="21">
        <f ca="1">SUMIF($C$8:$C$38, "&lt;="&amp;TODAY(), $F$8:$F$38)</f>
        <v>16995</v>
      </c>
      <c r="G39" s="9">
        <f ca="1">$F$39/$E$39</f>
        <v>0.27038421764378329</v>
      </c>
      <c r="H39" s="10">
        <f ca="1">SUMIF($C$8:$C$38, "&lt;="&amp;TODAY(), $H$8:$H$38)</f>
        <v>1133</v>
      </c>
      <c r="I39" s="10">
        <f ca="1">SUMIF($C$8:$C$38, "&lt;="&amp;TODAY(), $I$8:$I$38)</f>
        <v>25</v>
      </c>
      <c r="J39" s="10">
        <f ca="1">SUMIF($C$8:$C$38, "&lt;="&amp;TODAY(), $J$8:$J$38)</f>
        <v>1158</v>
      </c>
      <c r="L39" s="46" t="s">
        <v>0</v>
      </c>
      <c r="M39" s="47"/>
      <c r="N39" s="21">
        <f ca="1">SUMIF($L$8:$L$38, "&lt;="&amp;TODAY()-364, $N$8:$N$38)</f>
        <v>60365</v>
      </c>
      <c r="O39" s="21">
        <f ca="1">SUMIF($L$8:$L$38, "&lt;="&amp;TODAY()-364, $O$8:$O$38)</f>
        <v>16830</v>
      </c>
      <c r="P39" s="9">
        <f ca="1">$O$39/$N$39</f>
        <v>0.27880394268201775</v>
      </c>
      <c r="Q39" s="10">
        <f ca="1">SUMIF($N$8:$N$38, "&lt;="&amp;TODAY()-364, $Q$8:$Q$38)</f>
        <v>11781</v>
      </c>
      <c r="R39" s="10">
        <f ca="1">SUMIF($N$8:$N$38, "&lt;="&amp;TODAY()-364, $R$8:$R$38)</f>
        <v>45</v>
      </c>
      <c r="S39" s="10">
        <f ca="1">SUMIF($N$8:$N$38, "&lt;="&amp;TODAY()-364, $S$8:$S$38)</f>
        <v>11826</v>
      </c>
      <c r="U39" s="46" t="s">
        <v>0</v>
      </c>
      <c r="V39" s="47"/>
      <c r="W39" s="21">
        <f ca="1">SUMIF($U$8:$U$38, "&lt;="&amp;TODAY()-728, $W$8:$W$38)</f>
        <v>57875</v>
      </c>
      <c r="X39" s="21">
        <f ca="1">SUMIF($U$8:$U$38, "&lt;="&amp;TODAY()-728, $X$8:$X$38)</f>
        <v>16785</v>
      </c>
      <c r="Y39" s="9">
        <f ca="1">$X$39/$W$39</f>
        <v>0.29002159827213825</v>
      </c>
      <c r="Z39" s="10">
        <f ca="1">SUMIF($U$8:$U$38, "&lt;="&amp;TODAY()-728, $Z$8:$Z$38)</f>
        <v>1119</v>
      </c>
      <c r="AA39" s="10">
        <f ca="1">SUMIF($U$8:$U$38, "&lt;="&amp;TODAY()-728, $AA$8:$AA$38)</f>
        <v>30</v>
      </c>
      <c r="AB39" s="10">
        <f ca="1">SUMIF($U$8:$U$38, "&lt;="&amp;TODAY()-728, $AB$8:$AB$38)</f>
        <v>1149</v>
      </c>
      <c r="AD39" s="46" t="str">
        <f t="shared" si="16"/>
        <v xml:space="preserve">Total </v>
      </c>
      <c r="AE39" s="47"/>
      <c r="AF39" s="41">
        <f ca="1">($E$39-$N$39)/$N$39</f>
        <v>4.1249068168640768E-2</v>
      </c>
      <c r="AG39" s="41">
        <f ca="1">($F$39-$O$39)/$O$39</f>
        <v>9.8039215686274508E-3</v>
      </c>
      <c r="AH39" s="23"/>
      <c r="AI39" s="46" t="str">
        <f t="shared" si="19"/>
        <v xml:space="preserve">Total </v>
      </c>
      <c r="AJ39" s="47"/>
      <c r="AK39" s="41">
        <f ca="1">($E$39-$W$39)/$W$39</f>
        <v>8.6047516198704099E-2</v>
      </c>
      <c r="AL39" s="41">
        <f ca="1">($F$39-$X$39)/$X$39</f>
        <v>1.2511170688114389E-2</v>
      </c>
    </row>
    <row r="40" spans="1:38" x14ac:dyDescent="0.25">
      <c r="M40" s="58" t="s">
        <v>17</v>
      </c>
    </row>
    <row r="41" spans="1:38" x14ac:dyDescent="0.25">
      <c r="C41"/>
      <c r="D41"/>
      <c r="E41"/>
      <c r="F41"/>
      <c r="G41"/>
      <c r="H41" s="65"/>
      <c r="I41" s="65"/>
      <c r="J41" s="65"/>
      <c r="L41"/>
      <c r="M41"/>
      <c r="N41"/>
      <c r="O41"/>
      <c r="P41"/>
      <c r="Q41" s="65"/>
      <c r="R41" s="65"/>
      <c r="S41" s="65"/>
      <c r="T41"/>
      <c r="U41"/>
      <c r="V41"/>
      <c r="W41"/>
      <c r="X41"/>
      <c r="Y41"/>
      <c r="Z41" s="65"/>
      <c r="AA41" s="65"/>
      <c r="AB41" s="65"/>
      <c r="AC41"/>
      <c r="AD41"/>
      <c r="AE41"/>
      <c r="AF41"/>
      <c r="AG41"/>
      <c r="AH41"/>
      <c r="AI41"/>
      <c r="AJ41"/>
      <c r="AK41"/>
      <c r="AL41"/>
    </row>
    <row r="42" spans="1:38" ht="17.25" customHeight="1" x14ac:dyDescent="0.25">
      <c r="C42" s="86" t="s">
        <v>16</v>
      </c>
      <c r="D42" s="87"/>
      <c r="E42" s="52" t="s">
        <v>11</v>
      </c>
      <c r="F42" s="53" t="s">
        <v>3</v>
      </c>
      <c r="G42" s="53" t="s">
        <v>1</v>
      </c>
      <c r="H42" s="82" t="s">
        <v>6</v>
      </c>
      <c r="I42" s="82" t="s">
        <v>8</v>
      </c>
      <c r="J42" s="79" t="s">
        <v>9</v>
      </c>
      <c r="L42" s="88" t="s">
        <v>16</v>
      </c>
      <c r="M42" s="89"/>
      <c r="N42" s="54" t="s">
        <v>11</v>
      </c>
      <c r="O42" s="55" t="s">
        <v>3</v>
      </c>
      <c r="P42" s="55" t="s">
        <v>1</v>
      </c>
      <c r="Q42" s="74" t="s">
        <v>6</v>
      </c>
      <c r="R42" s="74" t="s">
        <v>8</v>
      </c>
      <c r="S42" s="72" t="s">
        <v>9</v>
      </c>
      <c r="T42"/>
      <c r="U42" s="90" t="s">
        <v>16</v>
      </c>
      <c r="V42" s="91"/>
      <c r="W42" s="56" t="s">
        <v>11</v>
      </c>
      <c r="X42" s="57" t="s">
        <v>3</v>
      </c>
      <c r="Y42" s="57" t="s">
        <v>1</v>
      </c>
      <c r="Z42" s="68" t="s">
        <v>6</v>
      </c>
      <c r="AA42" s="68" t="s">
        <v>8</v>
      </c>
      <c r="AB42" s="66" t="s">
        <v>9</v>
      </c>
      <c r="AC42"/>
      <c r="AD42" s="83" t="s">
        <v>18</v>
      </c>
      <c r="AE42" s="84"/>
      <c r="AF42" s="84" t="s">
        <v>11</v>
      </c>
      <c r="AG42" s="60" t="s">
        <v>3</v>
      </c>
      <c r="AI42" s="85" t="s">
        <v>19</v>
      </c>
      <c r="AJ42" s="85"/>
      <c r="AK42" s="85"/>
      <c r="AL42" s="59" t="s">
        <v>3</v>
      </c>
    </row>
    <row r="43" spans="1:38" ht="19.5" customHeight="1" x14ac:dyDescent="0.25">
      <c r="C43" s="48" t="s">
        <v>15</v>
      </c>
      <c r="D43" s="47"/>
      <c r="E43" s="49">
        <f t="shared" ref="E43:J43" ca="1" si="26">E39</f>
        <v>62855</v>
      </c>
      <c r="F43" s="49">
        <f t="shared" ca="1" si="26"/>
        <v>16995</v>
      </c>
      <c r="G43" s="50">
        <f t="shared" ca="1" si="26"/>
        <v>0.27038421764378329</v>
      </c>
      <c r="H43" s="51">
        <f t="shared" ca="1" si="26"/>
        <v>1133</v>
      </c>
      <c r="I43" s="51">
        <f t="shared" ca="1" si="26"/>
        <v>25</v>
      </c>
      <c r="J43" s="51">
        <f t="shared" ca="1" si="26"/>
        <v>1158</v>
      </c>
      <c r="L43" s="48" t="s">
        <v>15</v>
      </c>
      <c r="M43" s="47"/>
      <c r="N43" s="21">
        <f ca="1">SUMIF($L$6:$L$38, "&lt;="&amp;TODAY()-364, $N$6:$N$38)</f>
        <v>69321</v>
      </c>
      <c r="O43" s="21">
        <f ca="1">SUMIF($L$6:$L$38, "&lt;="&amp;TODAY()-364, $O$6:$O$38)</f>
        <v>20220</v>
      </c>
      <c r="P43" s="9">
        <f ca="1">$O$39/$N$39</f>
        <v>0.27880394268201775</v>
      </c>
      <c r="Q43" s="10">
        <f ca="1">SUMIF($N$6:$N$38, "&lt;="&amp;TODAY()-364, $Q$6:$Q$38)</f>
        <v>12007</v>
      </c>
      <c r="R43" s="10">
        <f ca="1">SUMIF(O10:O42, "&lt;="&amp;TODAY()-364, R10:R42)</f>
        <v>170</v>
      </c>
      <c r="S43" s="10">
        <f ca="1">SUMIF($P$6:$P$38, "&lt;="&amp;TODAY()-364, $S$6:$S$38)</f>
        <v>15616</v>
      </c>
      <c r="T43"/>
      <c r="U43" s="48" t="s">
        <v>15</v>
      </c>
      <c r="V43" s="47"/>
      <c r="W43" s="21">
        <f ca="1">SUMIF($U$6:$U$38, "&lt;="&amp;TODAY()-728, $W$6:$W$38)</f>
        <v>75786</v>
      </c>
      <c r="X43" s="21">
        <f ca="1">SUMIF($U$6:$U$38, "&lt;="&amp;TODAY()-728, $X$6:$X$38)</f>
        <v>23505</v>
      </c>
      <c r="Y43" s="9">
        <f ca="1">$X$39/$W$39</f>
        <v>0.29002159827213825</v>
      </c>
      <c r="Z43" s="10">
        <f ca="1">SUMIF($U$6:$U$38, "&lt;="&amp;TODAY()-728, $Z$6:$Z$38)</f>
        <v>1567</v>
      </c>
      <c r="AA43" s="10">
        <f ca="1">SUMIF($U$6:$U$38, "&lt;="&amp;TODAY()-728, $AA$6:$AA$38)</f>
        <v>30</v>
      </c>
      <c r="AB43" s="10">
        <f ca="1">SUMIF($U$6:$U$38, "&lt;="&amp;TODAY()-728, $AB$6:$AB$38)</f>
        <v>1597</v>
      </c>
      <c r="AC43"/>
      <c r="AD43" s="46" t="str">
        <f t="shared" ref="AD43" si="27">$L43</f>
        <v>Totals</v>
      </c>
      <c r="AE43" s="47"/>
      <c r="AF43" s="41">
        <f ca="1">($E$43-$N$43)/$N$43</f>
        <v>-9.3276207786962106E-2</v>
      </c>
      <c r="AG43" s="41">
        <f ca="1">($F$43-$O$43)/$O$43</f>
        <v>-0.15949554896142434</v>
      </c>
      <c r="AH43" s="23"/>
      <c r="AI43" s="46" t="str">
        <f t="shared" ref="AI43" si="28">$U43</f>
        <v>Totals</v>
      </c>
      <c r="AJ43" s="47"/>
      <c r="AK43" s="41">
        <f ca="1">($E$43-$W$43)/$W$43</f>
        <v>-0.17062518143192673</v>
      </c>
      <c r="AL43" s="41">
        <f ca="1">($F$43-$X$43)/$X$43</f>
        <v>-0.27696234843650286</v>
      </c>
    </row>
    <row r="44" spans="1:38" x14ac:dyDescent="0.25">
      <c r="AD44"/>
      <c r="AE44"/>
      <c r="AF44"/>
      <c r="AG44"/>
      <c r="AH44"/>
      <c r="AI44"/>
      <c r="AJ44"/>
      <c r="AK44"/>
      <c r="AL44"/>
    </row>
  </sheetData>
  <mergeCells count="17">
    <mergeCell ref="C3:J3"/>
    <mergeCell ref="L3:S3"/>
    <mergeCell ref="U3:AB3"/>
    <mergeCell ref="AD3:AG3"/>
    <mergeCell ref="AI3:AL3"/>
    <mergeCell ref="AD5:AF5"/>
    <mergeCell ref="AI5:AK5"/>
    <mergeCell ref="C42:D42"/>
    <mergeCell ref="L42:M42"/>
    <mergeCell ref="U42:V42"/>
    <mergeCell ref="AD42:AF42"/>
    <mergeCell ref="AI42:AK42"/>
    <mergeCell ref="C4:E5"/>
    <mergeCell ref="L4:N5"/>
    <mergeCell ref="U4:W5"/>
    <mergeCell ref="AD4:AG4"/>
    <mergeCell ref="AI4:AL4"/>
  </mergeCells>
  <conditionalFormatting sqref="AF8:AG38 AK8:AL38 E8:J38 W6:AB38 N6:S38">
    <cfRule type="expression" dxfId="13" priority="14">
      <formula>AND($C6&gt;$B$1)</formula>
    </cfRule>
  </conditionalFormatting>
  <conditionalFormatting sqref="AD8:AG38 AI9:AL38 C8:J38 U6:AB38 N7:S38">
    <cfRule type="expression" dxfId="12" priority="13">
      <formula>AND($C6=$B$1)</formula>
    </cfRule>
  </conditionalFormatting>
  <conditionalFormatting sqref="AD4 AG5">
    <cfRule type="cellIs" dxfId="11" priority="9" operator="lessThan">
      <formula>0</formula>
    </cfRule>
  </conditionalFormatting>
  <conditionalFormatting sqref="AI8:AL8">
    <cfRule type="expression" dxfId="10" priority="10">
      <formula>AND($C8=$B$1)</formula>
    </cfRule>
  </conditionalFormatting>
  <conditionalFormatting sqref="AK1:AK2 AK45 AK40 AK48:AK1048576">
    <cfRule type="cellIs" dxfId="9" priority="12" operator="greaterThan">
      <formula>0</formula>
    </cfRule>
  </conditionalFormatting>
  <conditionalFormatting sqref="AL1:AL2 AI4 AL45 AL40 AL48:AL1048576">
    <cfRule type="cellIs" dxfId="8" priority="11" operator="lessThan">
      <formula>0</formula>
    </cfRule>
  </conditionalFormatting>
  <conditionalFormatting sqref="AL5">
    <cfRule type="cellIs" dxfId="7" priority="8" operator="lessThan">
      <formula>0</formula>
    </cfRule>
  </conditionalFormatting>
  <conditionalFormatting sqref="AG42">
    <cfRule type="cellIs" dxfId="6" priority="7" operator="lessThan">
      <formula>0</formula>
    </cfRule>
  </conditionalFormatting>
  <conditionalFormatting sqref="AL42">
    <cfRule type="cellIs" dxfId="5" priority="6" operator="lessThan">
      <formula>0</formula>
    </cfRule>
  </conditionalFormatting>
  <conditionalFormatting sqref="AF43:AH43 AF39:AH39 AK39:AL39 AK43:AL43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AK3">
    <cfRule type="cellIs" dxfId="2" priority="3" operator="greaterThan">
      <formula>0</formula>
    </cfRule>
  </conditionalFormatting>
  <conditionalFormatting sqref="AL3">
    <cfRule type="cellIs" dxfId="1" priority="2" operator="lessThan">
      <formula>0</formula>
    </cfRule>
  </conditionalFormatting>
  <conditionalFormatting sqref="L7:M38">
    <cfRule type="expression" dxfId="0" priority="1">
      <formula>AND($C7=$B$1)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Daily Sales-All</vt:lpstr>
      <vt:lpstr>Store 1</vt:lpstr>
      <vt:lpstr>Store 2</vt:lpstr>
      <vt:lpstr>Store 3</vt:lpstr>
      <vt:lpstr>Store 4</vt:lpstr>
      <vt:lpstr>Store 5</vt:lpstr>
      <vt:lpstr>Store 6</vt:lpstr>
      <vt:lpstr>Store 7</vt:lpstr>
      <vt:lpstr>Store 8</vt:lpstr>
      <vt:lpstr>Store 9</vt:lpstr>
      <vt:lpstr>Store 10</vt:lpstr>
      <vt:lpstr>Store 11</vt:lpstr>
      <vt:lpstr>Store 12</vt:lpstr>
      <vt:lpstr>Store 13</vt:lpstr>
      <vt:lpstr>Store 14</vt:lpstr>
      <vt:lpstr>Store 15</vt:lpstr>
      <vt:lpstr>Store 16</vt:lpstr>
      <vt:lpstr>Store 17</vt:lpstr>
      <vt:lpstr>Store 18</vt:lpstr>
      <vt:lpstr>Store 19</vt:lpstr>
      <vt:lpstr>Store 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mrice</dc:creator>
  <cp:lastModifiedBy>Michael Rice</cp:lastModifiedBy>
  <dcterms:created xsi:type="dcterms:W3CDTF">2022-08-04T06:33:20Z</dcterms:created>
  <dcterms:modified xsi:type="dcterms:W3CDTF">2023-10-02T06:41:38Z</dcterms:modified>
</cp:coreProperties>
</file>